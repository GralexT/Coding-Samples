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4000" windowHeight="14820" activeTab="3"/>
  </bookViews>
  <sheets>
    <sheet name="Residential_Property" sheetId="1" r:id="rId1"/>
    <sheet name="Established_Houses" sheetId="2" r:id="rId2"/>
    <sheet name="Attached_Dwellings" sheetId="3" r:id="rId3"/>
    <sheet name="Analysis" sheetId="4" r:id="rId4"/>
  </sheets>
  <calcPr calcId="125725"/>
</workbook>
</file>

<file path=xl/calcChain.xml><?xml version="1.0" encoding="utf-8"?>
<calcChain xmlns="http://schemas.openxmlformats.org/spreadsheetml/2006/main">
  <c r="B35" i="4"/>
  <c r="B34"/>
  <c r="K8" a="1"/>
  <c r="K8" s="1"/>
  <c r="K9" a="1"/>
  <c r="K9" s="1"/>
  <c r="K10" a="1"/>
  <c r="K10" s="1"/>
  <c r="K11" a="1"/>
  <c r="K11" s="1"/>
  <c r="K12" a="1"/>
  <c r="K12" s="1"/>
  <c r="K13" a="1"/>
  <c r="K13" s="1"/>
  <c r="K14" a="1"/>
  <c r="K14" s="1"/>
  <c r="K15" a="1"/>
  <c r="K15" s="1"/>
  <c r="K16" a="1"/>
  <c r="K16" s="1"/>
  <c r="K17" a="1"/>
  <c r="K17" s="1"/>
  <c r="K18" a="1"/>
  <c r="K18" s="1"/>
  <c r="K19" a="1"/>
  <c r="K19" s="1"/>
  <c r="K20" a="1"/>
  <c r="K20" s="1"/>
  <c r="K21" a="1"/>
  <c r="K21" s="1"/>
  <c r="K22" a="1"/>
  <c r="K22" s="1"/>
  <c r="K23" a="1"/>
  <c r="K23" s="1"/>
  <c r="K24" a="1"/>
  <c r="K24" s="1"/>
  <c r="K25" a="1"/>
  <c r="K25" s="1"/>
  <c r="K26" a="1"/>
  <c r="K26" s="1"/>
  <c r="K27" a="1"/>
  <c r="K27" s="1"/>
  <c r="K28" a="1"/>
  <c r="K28" s="1"/>
  <c r="K29" a="1"/>
  <c r="K29" s="1"/>
  <c r="K30" a="1"/>
  <c r="K30" s="1"/>
  <c r="J8" a="1"/>
  <c r="J8" s="1"/>
  <c r="J9" a="1"/>
  <c r="J9" s="1"/>
  <c r="J10" a="1"/>
  <c r="J10" s="1"/>
  <c r="J11" a="1"/>
  <c r="J11" s="1"/>
  <c r="J12" a="1"/>
  <c r="J12" s="1"/>
  <c r="J13" a="1"/>
  <c r="J13" s="1"/>
  <c r="J14" a="1"/>
  <c r="J14" s="1"/>
  <c r="J15" a="1"/>
  <c r="J15" s="1"/>
  <c r="J16" a="1"/>
  <c r="J16" s="1"/>
  <c r="J17" a="1"/>
  <c r="J17" s="1"/>
  <c r="J18" a="1"/>
  <c r="J18" s="1"/>
  <c r="J19" a="1"/>
  <c r="J19" s="1"/>
  <c r="J20" a="1"/>
  <c r="J20" s="1"/>
  <c r="J21" a="1"/>
  <c r="J21" s="1"/>
  <c r="J22" a="1"/>
  <c r="J22" s="1"/>
  <c r="J23" a="1"/>
  <c r="J23" s="1"/>
  <c r="J24" a="1"/>
  <c r="J24" s="1"/>
  <c r="J25" a="1"/>
  <c r="J25" s="1"/>
  <c r="J26" a="1"/>
  <c r="J26" s="1"/>
  <c r="J27" a="1"/>
  <c r="J27" s="1"/>
  <c r="J28" a="1"/>
  <c r="J28" s="1"/>
  <c r="J29" a="1"/>
  <c r="J29" s="1"/>
  <c r="J30" a="1"/>
  <c r="J30" s="1"/>
  <c r="I8" a="1"/>
  <c r="I8" s="1"/>
  <c r="I9" a="1"/>
  <c r="I9" s="1"/>
  <c r="I10" a="1"/>
  <c r="I10" s="1"/>
  <c r="I11" a="1"/>
  <c r="I11" s="1"/>
  <c r="I12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H8" a="1"/>
  <c r="H8" s="1"/>
  <c r="H9" a="1"/>
  <c r="H9" s="1"/>
  <c r="H10" a="1"/>
  <c r="H10" s="1"/>
  <c r="H11" a="1"/>
  <c r="H11" s="1"/>
  <c r="H12" a="1"/>
  <c r="H12" s="1"/>
  <c r="H13" a="1"/>
  <c r="H13" s="1"/>
  <c r="H14" a="1"/>
  <c r="H14" s="1"/>
  <c r="H15" a="1"/>
  <c r="H15" s="1"/>
  <c r="H16" a="1"/>
  <c r="H16" s="1"/>
  <c r="H17" a="1"/>
  <c r="H17" s="1"/>
  <c r="H18" a="1"/>
  <c r="H18" s="1"/>
  <c r="H19" a="1"/>
  <c r="H19" s="1"/>
  <c r="H20" a="1"/>
  <c r="H20" s="1"/>
  <c r="H21" a="1"/>
  <c r="H21" s="1"/>
  <c r="H22" a="1"/>
  <c r="H22" s="1"/>
  <c r="H23" a="1"/>
  <c r="H23" s="1"/>
  <c r="H24" a="1"/>
  <c r="H24" s="1"/>
  <c r="H25" a="1"/>
  <c r="H25" s="1"/>
  <c r="H26" a="1"/>
  <c r="H26" s="1"/>
  <c r="H27" a="1"/>
  <c r="H27" s="1"/>
  <c r="H28" a="1"/>
  <c r="H28" s="1"/>
  <c r="H29" a="1"/>
  <c r="H29" s="1"/>
  <c r="H30" a="1"/>
  <c r="H30" s="1"/>
  <c r="K7" a="1"/>
  <c r="K7" s="1"/>
  <c r="J7" a="1"/>
  <c r="J7" s="1"/>
  <c r="I7" a="1"/>
  <c r="I7" s="1"/>
  <c r="H7" a="1"/>
  <c r="H7" s="1"/>
  <c r="F7" a="1"/>
  <c r="F7" s="1"/>
  <c r="G8" a="1"/>
  <c r="G8" s="1"/>
  <c r="G9" a="1"/>
  <c r="G9" s="1"/>
  <c r="G10" a="1"/>
  <c r="G10" s="1"/>
  <c r="G11" a="1"/>
  <c r="G11" s="1"/>
  <c r="G12" a="1"/>
  <c r="G12" s="1"/>
  <c r="G13" a="1"/>
  <c r="G13" s="1"/>
  <c r="G14" a="1"/>
  <c r="G14" s="1"/>
  <c r="G15" a="1"/>
  <c r="G15" s="1"/>
  <c r="G16" a="1"/>
  <c r="G16" s="1"/>
  <c r="G17" a="1"/>
  <c r="G17" s="1"/>
  <c r="G18" a="1"/>
  <c r="G18" s="1"/>
  <c r="G19" a="1"/>
  <c r="G19" s="1"/>
  <c r="G20" a="1"/>
  <c r="G20" s="1"/>
  <c r="G21" a="1"/>
  <c r="G21" s="1"/>
  <c r="G22" a="1"/>
  <c r="G22" s="1"/>
  <c r="G23" a="1"/>
  <c r="G23" s="1"/>
  <c r="G24" a="1"/>
  <c r="G24" s="1"/>
  <c r="G25" a="1"/>
  <c r="G25" s="1"/>
  <c r="G26" a="1"/>
  <c r="G26" s="1"/>
  <c r="G27" a="1"/>
  <c r="G27" s="1"/>
  <c r="G28" a="1"/>
  <c r="G28" s="1"/>
  <c r="G29" a="1"/>
  <c r="G29" s="1"/>
  <c r="G30" a="1"/>
  <c r="G30" s="1"/>
  <c r="G7" a="1"/>
  <c r="G7" s="1"/>
  <c r="F8" a="1"/>
  <c r="F8" s="1"/>
  <c r="F9" a="1"/>
  <c r="F9" s="1"/>
  <c r="F10" a="1"/>
  <c r="F10" s="1"/>
  <c r="F11" a="1"/>
  <c r="F11" s="1"/>
  <c r="F12" a="1"/>
  <c r="F12" s="1"/>
  <c r="F13" a="1"/>
  <c r="F13" s="1"/>
  <c r="F14" a="1"/>
  <c r="F14" s="1"/>
  <c r="F15" a="1"/>
  <c r="F15" s="1"/>
  <c r="F16" a="1"/>
  <c r="F16" s="1"/>
  <c r="F17" a="1"/>
  <c r="F17" s="1"/>
  <c r="F18" a="1"/>
  <c r="F18" s="1"/>
  <c r="F19" a="1"/>
  <c r="F19" s="1"/>
  <c r="F20" a="1"/>
  <c r="F20" s="1"/>
  <c r="F21" a="1"/>
  <c r="F21" s="1"/>
  <c r="F22" a="1"/>
  <c r="F22" s="1"/>
  <c r="F23" a="1"/>
  <c r="F23" s="1"/>
  <c r="F24" a="1"/>
  <c r="F24" s="1"/>
  <c r="F25" a="1"/>
  <c r="F25" s="1"/>
  <c r="F26" a="1"/>
  <c r="F26" s="1"/>
  <c r="F27" a="1"/>
  <c r="F27" s="1"/>
  <c r="F28" a="1"/>
  <c r="F28" s="1"/>
  <c r="F29" a="1"/>
  <c r="F29" s="1"/>
  <c r="F30" a="1"/>
  <c r="F30" s="1"/>
  <c r="D8" a="1"/>
  <c r="D8" s="1"/>
  <c r="D9" a="1"/>
  <c r="D9" s="1"/>
  <c r="D10" a="1"/>
  <c r="D10" s="1"/>
  <c r="D11" a="1"/>
  <c r="D11" s="1"/>
  <c r="D12" a="1"/>
  <c r="D12" s="1"/>
  <c r="D13" a="1"/>
  <c r="D13" s="1"/>
  <c r="D14" a="1"/>
  <c r="D14" s="1"/>
  <c r="D15" a="1"/>
  <c r="D15" s="1"/>
  <c r="D16" a="1"/>
  <c r="D16" s="1"/>
  <c r="D17" a="1"/>
  <c r="D17" s="1"/>
  <c r="D18" a="1"/>
  <c r="D18" s="1"/>
  <c r="D19" a="1"/>
  <c r="D19" s="1"/>
  <c r="D20" a="1"/>
  <c r="D20" s="1"/>
  <c r="D21" a="1"/>
  <c r="D21" s="1"/>
  <c r="D22" a="1"/>
  <c r="D22" s="1"/>
  <c r="D23" a="1"/>
  <c r="D23" s="1"/>
  <c r="D24" a="1"/>
  <c r="D24" s="1"/>
  <c r="D25" a="1"/>
  <c r="D25" s="1"/>
  <c r="D26" a="1"/>
  <c r="D26" s="1"/>
  <c r="D27" a="1"/>
  <c r="D27" s="1"/>
  <c r="D28" a="1"/>
  <c r="D28" s="1"/>
  <c r="D29" a="1"/>
  <c r="D29" s="1"/>
  <c r="D30" a="1"/>
  <c r="D30" s="1"/>
  <c r="D7" a="1"/>
  <c r="D7" s="1"/>
  <c r="E8" a="1"/>
  <c r="E8" s="1"/>
  <c r="E9" a="1"/>
  <c r="E9" s="1"/>
  <c r="E10" a="1"/>
  <c r="E10" s="1"/>
  <c r="E11" a="1"/>
  <c r="E11" s="1"/>
  <c r="E12" a="1"/>
  <c r="E12" s="1"/>
  <c r="E13" a="1"/>
  <c r="E13" s="1"/>
  <c r="E14" a="1"/>
  <c r="E14" s="1"/>
  <c r="E15" a="1"/>
  <c r="E15" s="1"/>
  <c r="E16" a="1"/>
  <c r="E16" s="1"/>
  <c r="E17" a="1"/>
  <c r="E17" s="1"/>
  <c r="E18" a="1"/>
  <c r="E18" s="1"/>
  <c r="E19" a="1"/>
  <c r="E19" s="1"/>
  <c r="E20" a="1"/>
  <c r="E20" s="1"/>
  <c r="E21" a="1"/>
  <c r="E21" s="1"/>
  <c r="E22" a="1"/>
  <c r="E22" s="1"/>
  <c r="E23" a="1"/>
  <c r="E23" s="1"/>
  <c r="E24" a="1"/>
  <c r="E24" s="1"/>
  <c r="E25" a="1"/>
  <c r="E25" s="1"/>
  <c r="E26" a="1"/>
  <c r="E26" s="1"/>
  <c r="E27" a="1"/>
  <c r="E27" s="1"/>
  <c r="E28" a="1"/>
  <c r="E28" s="1"/>
  <c r="E29" a="1"/>
  <c r="E29" s="1"/>
  <c r="E30" a="1"/>
  <c r="E30" s="1"/>
  <c r="E7" a="1"/>
  <c r="E7" s="1"/>
  <c r="C7" a="1"/>
  <c r="C7" s="1"/>
  <c r="C8" a="1"/>
  <c r="C8" s="1"/>
  <c r="C9" a="1"/>
  <c r="C9" s="1"/>
  <c r="C10" a="1"/>
  <c r="C10" s="1"/>
  <c r="C11" a="1"/>
  <c r="C11" s="1"/>
  <c r="C12" a="1"/>
  <c r="C12" s="1"/>
  <c r="C13" a="1"/>
  <c r="C13" s="1"/>
  <c r="C14" a="1"/>
  <c r="C14" s="1"/>
  <c r="C15" a="1"/>
  <c r="C15" s="1"/>
  <c r="C16" a="1"/>
  <c r="C16" s="1"/>
  <c r="C17" a="1"/>
  <c r="C17" s="1"/>
  <c r="C18" a="1"/>
  <c r="C18" s="1"/>
  <c r="C19" a="1"/>
  <c r="C19" s="1"/>
  <c r="C20" a="1"/>
  <c r="C20" s="1"/>
  <c r="C21" a="1"/>
  <c r="C21" s="1"/>
  <c r="C22" a="1"/>
  <c r="C22" s="1"/>
  <c r="C23" a="1"/>
  <c r="C23" s="1"/>
  <c r="C24" a="1"/>
  <c r="C24" s="1"/>
  <c r="C25" a="1"/>
  <c r="C25" s="1"/>
  <c r="C26" a="1"/>
  <c r="C26" s="1"/>
  <c r="C27" a="1"/>
  <c r="C27" s="1"/>
  <c r="C28" a="1"/>
  <c r="C28" s="1"/>
  <c r="C29" a="1"/>
  <c r="C29" s="1"/>
  <c r="C30" a="1"/>
  <c r="C30" s="1"/>
  <c r="A1" i="1"/>
  <c r="A1" i="3"/>
  <c r="A1" i="2"/>
</calcChain>
</file>

<file path=xl/sharedStrings.xml><?xml version="1.0" encoding="utf-8"?>
<sst xmlns="http://schemas.openxmlformats.org/spreadsheetml/2006/main" count="209" uniqueCount="51">
  <si>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 IsDisplayed="true"&gt;&lt;Name LocaleIsoCode="en"&gt;Residential property&lt;/Name&gt;&lt;Name LocaleIsoCode="fr"&gt;Residential property&lt;/Name&gt;&lt;/Member&gt;&lt;Member Code="2" HasOnlyUnitMetadata="false"&gt;&lt;Name LocaleIsoCode="en"&gt;Established houses&lt;/Name&gt;&lt;Name LocaleIsoCode="fr"&gt;Established houses&lt;/Name&gt;&lt;/Member&gt;&lt;Member Code="1" HasMetadata="true" HasOnlyUnitMetadata="false"&gt;&lt;Name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</si>
  <si>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Dataset: Residential Property Price Indexes, All Series by GCCSA</t>
  </si>
  <si>
    <t>Property type</t>
  </si>
  <si>
    <t>Residential property</t>
  </si>
  <si>
    <t>Frequency</t>
  </si>
  <si>
    <t>Quarterly</t>
  </si>
  <si>
    <t>Region</t>
  </si>
  <si>
    <t>Greater Sydney</t>
  </si>
  <si>
    <t>Greater Melbourne</t>
  </si>
  <si>
    <t>Greater Brisbane</t>
  </si>
  <si>
    <t>Greater Adelaide</t>
  </si>
  <si>
    <t>Greater Perth</t>
  </si>
  <si>
    <t>Greater Hobart</t>
  </si>
  <si>
    <t>Greater Darwin</t>
  </si>
  <si>
    <t>Australian Capital Territory</t>
  </si>
  <si>
    <t>Weighted average of eight capital cities</t>
  </si>
  <si>
    <t>Measure</t>
  </si>
  <si>
    <t>Time</t>
  </si>
  <si>
    <t/>
  </si>
  <si>
    <t>Index Number</t>
  </si>
  <si>
    <t>Sep-2015</t>
  </si>
  <si>
    <t>Dec-2015</t>
  </si>
  <si>
    <t>Mar-2016</t>
  </si>
  <si>
    <t>Jun-2016</t>
  </si>
  <si>
    <t>Sep-2016</t>
  </si>
  <si>
    <t>Dec-2016</t>
  </si>
  <si>
    <t>Mar-2017</t>
  </si>
  <si>
    <t>Jun-2017</t>
  </si>
  <si>
    <t>Percentage change from previous quarter</t>
  </si>
  <si>
    <t>Percentage change from corresponding quarter of the previous year</t>
  </si>
  <si>
    <t>Data extracted on 03 Oct 2017 08:41 UTC (GMT) from ABS.Stat © Commonwealth of Australia. Creative Commons Attribution 2.5 Australia (https://creativecommons.org/licenses/by/2.5/au)</t>
  </si>
  <si>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HasOnlyUnitMetadata="false"&gt;&lt;Name LocaleIsoCode="en"&gt;Residential property&lt;/Name&gt;&lt;Name LocaleIsoCode="fr"&gt;Residential property&lt;/Name&gt;&lt;/Member&gt;&lt;Member Code="2" HasOnlyUnitMetadata="false" IsDisplayed="true"&gt;&lt;Name LocaleIsoCode="en"&gt;Established houses&lt;/Name&gt;&lt;Name LocaleIsoCode="fr"&gt;Established houses&lt;/Name&gt;&lt;/Member&gt;&lt;Member Code="1" HasMetadata="true" HasOnlyUnitMetadata="false"&gt;&lt;Name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</si>
  <si>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Established houses</t>
  </si>
  <si>
    <t>Data extracted on 03 Oct 2017 08:43 UTC (GMT) from ABS.Stat © Commonwealth of Australia. Creative Commons Attribution 2.5 Australia (https://creativecommons.org/licenses/by/2.5/au)</t>
  </si>
  <si>
    <t>&lt;?xml version="1.0"?&gt;&lt;WebTableParameter xmlns:xsd="http://www.w3.org/2001/XMLSchema" xmlns:xsi="http://www.w3.org/2001/XMLSchema-instance" xmlns=""&gt;&lt;DataTable Code="RES_PROP_INDEX" HasMetadata="true"&gt;&lt;Name LocaleIsoCode="en"&gt;Residential Property Price Indexes, All Series by GCCSA&lt;/Name&gt;&lt;Name LocaleIsoCode="fr"&gt;Residential Property Price Indexes, All Series by GCCSA&lt;/Name&gt;&lt;Dimension Code="MEASURE" Display="labels"&gt;&lt;Name LocaleIsoCode="en"&gt;Measure&lt;/Name&gt;&lt;Name LocaleIsoCode="fr"&gt;Measure&lt;/Name&gt;&lt;Member Code="1" HasOnlyUnitMetadata="false"&gt;&lt;Name LocaleIsoCode="en"&gt;Index Number&lt;/Name&gt;&lt;Name LocaleIsoCode="fr"&gt;Index Number&lt;/Name&gt;&lt;/Member&gt;&lt;Member Code="2" HasOnlyUnitMetadata="false"&gt;&lt;Name LocaleIsoCode="en"&gt;Percentage change from previous quarter&lt;/Name&gt;&lt;Name LocaleIsoCode="fr"&gt;Percentage change from previous quarter&lt;/Name&gt;&lt;/Member&gt;&lt;Member Code="3" HasOnlyUnitMetadata="false"&gt;&lt;Name LocaleIsoCode="en"&gt;Percentage change from corresponding quarter of the previous year&lt;/Name&gt;&lt;Name LocaleIsoCode="fr"&gt;Percentage change from corresponding quarter of the previous year&lt;/Name&gt;&lt;/Member&gt;&lt;/Dimension&gt;&lt;Dimension Code="PROP_TYPE" Display="labels"&gt;&lt;Name LocaleIsoCode="en"&gt;Property type&lt;/Name&gt;&lt;Name LocaleIsoCode="fr"&gt;Property type&lt;/Name&gt;&lt;Member Code="3" HasMetadata="true" HasOnlyUnitMetadata="false"&gt;&lt;Name LocaleIsoCode="en"&gt;Residential property&lt;/Name&gt;&lt;Name LocaleIsoCode="fr"&gt;Residential property&lt;/Name&gt;&lt;/Member&gt;&lt;Member Code="2" HasOnlyUnitMetadata="false"&gt;&lt;Name LocaleIsoCode="en"&gt;Established houses&lt;/Name&gt;&lt;Name LocaleIsoCode="fr"&gt;Established houses&lt;/Name&gt;&lt;/Member&gt;&lt;Member Code="1" HasMetadata="true" HasOnlyUnitMetadata="false" IsDisplayed="true"&gt;&lt;Name LocaleIsoCode="en"&gt;Attached dwellings&lt;/Name&gt;&lt;Name LocaleIsoCode="fr"&gt;Attached dwellings&lt;/Name&gt;&lt;/Member&gt;&lt;/Dimension&gt;&lt;Dimension Code="ASGS_2011" CommonCode="ASGS_2011" Display="labels"&gt;&lt;Name LocaleIsoCode="en"&gt;Region&lt;/Name&gt;&lt;Name LocaleIsoCode="fr"&gt;Region&lt;/Name&gt;&lt;Member Code="1GSYD" HasOnlyUnitMetadata="false"&gt;&lt;Name LocaleIsoCode="en"&gt;Greater Sydney&lt;/Name&gt;&lt;Name LocaleIsoCode="fr"&gt;Greater Sydney&lt;/Name&gt;&lt;/Member&gt;&lt;Member Code="2GMEL" HasOnlyUnitMetadata="false"&gt;&lt;Name LocaleIsoCode="en"&gt;Greater Melbourne&lt;/Name&gt;&lt;Name LocaleIsoCode="fr"&gt;Greater Melbourne&lt;/Name&gt;&lt;/Member&gt;&lt;Member Code="3GBRI" HasOnlyUnitMetadata="false"&gt;&lt;Name LocaleIsoCode="en"&gt;Greater Brisbane&lt;/Name&gt;&lt;Name LocaleIsoCode="fr"&gt;Greater Brisbane&lt;/Name&gt;&lt;/Member&gt;&lt;Member Code="4GADE" HasOnlyUnitMetadata="false"&gt;&lt;Name LocaleIsoCode="en"&gt;Greater Adelaide&lt;/Name&gt;&lt;Name LocaleIsoCode="fr"&gt;Greater Adelaide&lt;/Name&gt;&lt;/Member&gt;&lt;Member Code="5GPER" HasOnlyUnitMetadata="false"&gt;&lt;Name LocaleIsoCode="en"&gt;Greater Perth&lt;/Name&gt;&lt;Name LocaleIsoCode="fr"&gt;Greater Perth&lt;/Name&gt;&lt;/Member&gt;&lt;Member Code="6GHOB" HasOnlyUnitMetadata="false"&gt;&lt;Name LocaleIsoCode="en"&gt;Greater Hobart&lt;/Name&gt;&lt;Name LocaleIsoCode="fr"&gt;Greater Hobart&lt;/Name&gt;&lt;/Member&gt;&lt;Member Code="7GDAR" HasOnlyUnitMetadata="false"&gt;&lt;Name LocaleIsoCode="en"&gt;Greater Darwin&lt;/Name&gt;&lt;Name LocaleIsoCode="fr"&gt;Greater Darwin&lt;/Name&gt;&lt;/Member&gt;&lt;Member Code="8ACTE" HasOnlyUnitMetadata="false"&gt;&lt;Name LocaleIsoCode="en"&gt;Australian Capital Territory&lt;/Name&gt;&lt;Name LocaleIsoCode="fr"&gt;Australian Capital Territory&lt;/Name&gt;&lt;/Member&gt;&lt;Member Code="100" HasOnlyUnitMetadata="false"&gt;&lt;Name LocaleIsoCode="en"&gt;Weighted average of eight capital cities&lt;/Name&gt;&lt;Name LocaleIsoCode="fr"&gt;Weighted average of eight capital cities&lt;/Name&gt;&lt;/Member&gt;&lt;/Dimension&gt;&lt;Dimension Code="FREQUENCY" CommonCode="FREQUENCY" Display="labels"&gt;&lt;Name LocaleIsoCode="en"&gt;Frequency&lt;/Name&gt;&lt;Name LocaleIsoCode="fr"&gt;Frequency&lt;/Name&gt;&lt;Member Code="Q"&gt;&lt;Name LocaleIsoCode="en"&gt;Quarterly&lt;/Name&gt;&lt;Name LocaleIsoCode="fr"&gt;Trimestrielle&lt;/Name&gt;&lt;/Member&gt;&lt;/Dimension&gt;&lt;Dimension Code="TIME" CommonCode="TIME" Display="labels"&gt;&lt;Name LocaleIsoCode="en"&gt;Time&lt;/Name&gt;&lt;Name LocaleIsoCode="fr"&gt;Time&lt;/Name&gt;&lt;Member Code="2015Q3"&gt;&lt;Name LocaleIsoCode="en"&gt;Sep-2015&lt;/Name&gt;&lt;Name LocaleIsoCode="fr"&gt;Sept 2015&lt;/Name&gt;&lt;/Member&gt;&lt;Member Code="2015Q4"&gt;&lt;Name LocaleIsoCode="en"&gt;Dec-2015&lt;/Name&gt;&lt;Name LocaleIsoCode="fr"&gt;DÃ©c 2015&lt;/Name&gt;&lt;/Member&gt;&lt;Member Code="2016Q1"&gt;&lt;Name LocaleIsoCode="en"&gt;Mar-2016&lt;/Name&gt;&lt;Name LocaleIsoCode="fr"&gt;Mars 2016&lt;/Name&gt;&lt;/Member&gt;&lt;Member Code="2016Q2"&gt;&lt;Name LocaleIsoCode="en"&gt;Jun-2016&lt;/Name&gt;&lt;Name LocaleIsoCode="fr"&gt;Juin 2016&lt;/Name&gt;&lt;/Member&gt;&lt;Member Code="2016Q3"&gt;&lt;Name LocaleIsoCode="en"&gt;Sep-2016&lt;/Name&gt;&lt;Name LocaleIsoCode="fr"&gt;Sept 2016&lt;/Name&gt;&lt;/Member&gt;&lt;Member Code="2016Q4"&gt;&lt;Name LocaleIsoCode="en"&gt;Dec-2016&lt;/Name&gt;&lt;Name LocaleIsoCode="fr"&gt;DÃ©c 2016&lt;/Name&gt;&lt;/Member&gt;&lt;Member Code="2017Q1"&gt;&lt;Name LocaleIsoCode="en"&gt;Mar-2017&lt;/Name&gt;&lt;Name LocaleIsoCode="fr"&gt;Mars 2017&lt;/Name&gt;&lt;/Member&gt;&lt;Member Code="2017Q2"&gt;&lt;Name LocaleIsoCode="en"&gt;Jun-2017&lt;/Name&gt;&lt;Name LocaleIsoCode="fr"&gt;Juin 2017&lt;/Name&gt;&lt;/Member&gt;&lt;/Dimension&gt;&lt;WBOSInformations&gt;&lt;TimeDimension WebTreeWasUsed="false"&gt;&lt;NumberOfPeriods Annual="0" Semesters="0" Quarters="8" Months="0" Weeks="0" Days="0" /&gt;&lt;/TimeDimension&gt;&lt;/WBOSInformations&gt;&lt;Tabulation Axis="horizontal"&gt;&lt;Dimension Code="ASGS_2011" CommonCode="ASGS_2011" /&gt;&lt;/Tabulation&gt;&lt;Tabulation Axis="vertical"&gt;&lt;Dimension Code="MEASURE" /&gt;&lt;Dimension Code="TIME" CommonCode="TIME" /&gt;&lt;/Tabulation&gt;&lt;Tabulation Axis="page"&gt;&lt;Dimension Code="PROP_TYPE" /&gt;&lt;Dimension Code="FREQUENCY" CommonCode="FREQUENCY" /&gt;&lt;/Tabulation&gt;&lt;Formatting&gt;&lt;Labels LocaleIsoCode="en" /&gt;&lt;Power&gt;0&lt;/Power&gt;&lt;Decimals&gt;-1&lt;/Decimals&gt;&lt;SkipEmptyLines&gt;false&lt;/SkipEmptyLines&gt;&lt;SkipEmptyCols&gt;false&lt;/SkipEmptyCols&gt;&lt;SkipLineHierarchy&gt;false&lt;/SkipLineHierarchy&gt;&lt;SkipColHierarchy&gt;false&lt;/SkipColHierarchy&gt;&lt;Page&gt;1&lt;/Page&gt;&lt;/Formatting&gt;&lt;/DataTable&gt;&lt;Format&gt;&lt;ShowEmptyAxes&gt;true&lt;/ShowEmptyAxes&gt;&lt;Page&gt;1&lt;/Page&gt;&lt;EnableSort&gt;true&lt;/EnableSort&gt;&lt;IncludeFlagColumn&gt;false&lt;/IncludeFlagColumn&gt;&lt;IncludeTimeSeriesId&gt;false&lt;/IncludeTimeSeriesId&gt;&lt;DoBarChart&gt;false&lt;/DoBarChart&gt;&lt;FreezePanes&gt;true&lt;/FreezePanes&gt;&lt;MaxBarChartLen&gt;65&lt;/MaxBarChartLen&gt;&lt;/Format&gt;&lt;Query&gt;&lt;AbsoluteUri&gt;http://stat.data.abs.gov.au//View.aspx?QueryId=&amp;amp;QueryType=Public&amp;amp;Lang=en&lt;/AbsoluteUri&gt;&lt;/Query&gt;&lt;/WebTableParameter&gt;</t>
  </si>
  <si>
    <t>Attached dwellings</t>
  </si>
  <si>
    <t>Data extracted on 03 Oct 2017 08:44 UTC (GMT) from ABS.Stat © Commonwealth of Australia. Creative Commons Attribution 2.5 Australia (https://creativecommons.org/licenses/by/2.5/au)</t>
  </si>
  <si>
    <t>Grant Alexander Taylor</t>
  </si>
  <si>
    <t>Average of Australian State Capitals for Residential Property</t>
  </si>
  <si>
    <t>Average of Australian State Capitals for Attached Dwellings</t>
  </si>
  <si>
    <t>Average of Australian State Capitals for Establishd Houses</t>
  </si>
  <si>
    <t>Residential Property Maximum</t>
  </si>
  <si>
    <t>Residential Property Minimum</t>
  </si>
  <si>
    <t>Establishd Houses Maximum</t>
  </si>
  <si>
    <t>Establishd Houses Minimum</t>
  </si>
  <si>
    <t>Attached Dwellings Maximum</t>
  </si>
  <si>
    <t>Attached Dwellings Minimum</t>
  </si>
  <si>
    <t>Number of negative percentage changes from previous quarters for all housing types</t>
  </si>
  <si>
    <t>Number of negative percentage changes from corresponding quarters of previous years for all housing types</t>
  </si>
  <si>
    <t>Student Name:</t>
  </si>
  <si>
    <t>Student ID:</t>
  </si>
</sst>
</file>

<file path=xl/styles.xml><?xml version="1.0" encoding="utf-8"?>
<styleSheet xmlns="http://schemas.openxmlformats.org/spreadsheetml/2006/main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  <font>
      <sz val="8"/>
      <color indexed="9"/>
      <name val="Verdana"/>
      <family val="2"/>
    </font>
    <font>
      <u/>
      <sz val="8"/>
      <color indexed="9"/>
      <name val="Verdana"/>
      <family val="2"/>
    </font>
    <font>
      <b/>
      <sz val="8"/>
      <color indexed="9"/>
      <name val="Verdana"/>
      <family val="2"/>
    </font>
    <font>
      <sz val="8"/>
      <name val="Arial"/>
      <family val="2"/>
    </font>
    <font>
      <b/>
      <sz val="9"/>
      <color indexed="10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973BD"/>
        <bgColor indexed="64"/>
      </patternFill>
    </fill>
    <fill>
      <patternFill patternType="solid">
        <fgColor rgb="FF00A1E3"/>
        <bgColor indexed="64"/>
      </patternFill>
    </fill>
    <fill>
      <patternFill patternType="solid">
        <fgColor rgb="FFC4D8ED"/>
        <bgColor indexed="64"/>
      </patternFill>
    </fill>
    <fill>
      <patternFill patternType="mediumGray">
        <fgColor rgb="FFC0C0C0"/>
        <bgColor rgb="FFFFFFFF"/>
      </patternFill>
    </fill>
    <fill>
      <patternFill patternType="solid">
        <fgColor rgb="FFF0F8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C0C0C0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23" fillId="0" borderId="10" xfId="0" applyFont="1" applyBorder="1"/>
    <xf numFmtId="0" fontId="20" fillId="34" borderId="10" xfId="0" applyFont="1" applyFill="1" applyBorder="1" applyAlignment="1">
      <alignment horizontal="center" vertical="top" wrapText="1"/>
    </xf>
    <xf numFmtId="0" fontId="19" fillId="35" borderId="10" xfId="0" applyFont="1" applyFill="1" applyBorder="1" applyAlignment="1">
      <alignment wrapText="1"/>
    </xf>
    <xf numFmtId="0" fontId="24" fillId="36" borderId="10" xfId="0" applyFont="1" applyFill="1" applyBorder="1" applyAlignment="1">
      <alignment horizontal="center"/>
    </xf>
    <xf numFmtId="0" fontId="18" fillId="35" borderId="10" xfId="0" applyFont="1" applyFill="1" applyBorder="1" applyAlignment="1">
      <alignment vertical="top" wrapText="1"/>
    </xf>
    <xf numFmtId="0" fontId="23" fillId="0" borderId="10" xfId="0" applyNumberFormat="1" applyFont="1" applyBorder="1" applyAlignment="1">
      <alignment horizontal="right"/>
    </xf>
    <xf numFmtId="0" fontId="23" fillId="37" borderId="10" xfId="0" applyNumberFormat="1" applyFont="1" applyFill="1" applyBorder="1" applyAlignment="1">
      <alignment horizontal="right"/>
    </xf>
    <xf numFmtId="0" fontId="22" fillId="34" borderId="1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7" fontId="0" fillId="0" borderId="0" xfId="0" applyNumberFormat="1" applyAlignment="1">
      <alignment wrapText="1"/>
    </xf>
    <xf numFmtId="0" fontId="23" fillId="0" borderId="10" xfId="0" applyNumberFormat="1" applyFont="1" applyFill="1" applyBorder="1" applyAlignment="1">
      <alignment horizontal="right" wrapText="1"/>
    </xf>
    <xf numFmtId="0" fontId="18" fillId="35" borderId="14" xfId="0" applyFont="1" applyFill="1" applyBorder="1" applyAlignment="1">
      <alignment vertical="top" wrapText="1"/>
    </xf>
    <xf numFmtId="0" fontId="18" fillId="35" borderId="16" xfId="0" applyFont="1" applyFill="1" applyBorder="1" applyAlignment="1">
      <alignment vertical="top" wrapText="1"/>
    </xf>
    <xf numFmtId="0" fontId="18" fillId="35" borderId="15" xfId="0" applyFont="1" applyFill="1" applyBorder="1" applyAlignment="1">
      <alignment vertical="top" wrapText="1"/>
    </xf>
    <xf numFmtId="0" fontId="22" fillId="33" borderId="11" xfId="0" applyFont="1" applyFill="1" applyBorder="1" applyAlignment="1">
      <alignment horizontal="right" vertical="top" wrapText="1"/>
    </xf>
    <xf numFmtId="0" fontId="22" fillId="33" borderId="13" xfId="0" applyFont="1" applyFill="1" applyBorder="1" applyAlignment="1">
      <alignment horizontal="right" vertical="top" wrapText="1"/>
    </xf>
    <xf numFmtId="0" fontId="21" fillId="33" borderId="11" xfId="0" applyFont="1" applyFill="1" applyBorder="1" applyAlignment="1">
      <alignment vertical="top" wrapText="1"/>
    </xf>
    <xf numFmtId="0" fontId="21" fillId="33" borderId="13" xfId="0" applyFont="1" applyFill="1" applyBorder="1" applyAlignment="1">
      <alignment vertical="top" wrapText="1"/>
    </xf>
    <xf numFmtId="0" fontId="21" fillId="33" borderId="12" xfId="0" applyFont="1" applyFill="1" applyBorder="1" applyAlignment="1">
      <alignment vertical="top" wrapText="1"/>
    </xf>
    <xf numFmtId="0" fontId="20" fillId="33" borderId="11" xfId="0" applyFont="1" applyFill="1" applyBorder="1" applyAlignment="1">
      <alignment vertical="top" wrapText="1"/>
    </xf>
    <xf numFmtId="0" fontId="20" fillId="33" borderId="13" xfId="0" applyFont="1" applyFill="1" applyBorder="1" applyAlignment="1">
      <alignment vertical="top" wrapText="1"/>
    </xf>
    <xf numFmtId="0" fontId="20" fillId="33" borderId="12" xfId="0" applyFont="1" applyFill="1" applyBorder="1" applyAlignment="1">
      <alignment vertical="top" wrapText="1"/>
    </xf>
    <xf numFmtId="0" fontId="22" fillId="34" borderId="11" xfId="0" applyFont="1" applyFill="1" applyBorder="1" applyAlignment="1">
      <alignment horizontal="right" vertical="center" wrapText="1"/>
    </xf>
    <xf numFmtId="0" fontId="22" fillId="34" borderId="13" xfId="0" applyFont="1" applyFill="1" applyBorder="1" applyAlignment="1">
      <alignment horizontal="righ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Average index numbers for housing of Australian</a:t>
            </a:r>
            <a:r>
              <a:rPr lang="en-US" baseline="0"/>
              <a:t> capital cities</a:t>
            </a:r>
            <a:endParaRPr lang="en-US"/>
          </a:p>
        </c:rich>
      </c:tx>
      <c:layout>
        <c:manualLayout>
          <c:xMode val="edge"/>
          <c:yMode val="edge"/>
          <c:x val="0.10583941421728744"/>
          <c:y val="1.9206683320860767E-2"/>
        </c:manualLayout>
      </c:layout>
    </c:title>
    <c:plotArea>
      <c:layout/>
      <c:lineChart>
        <c:grouping val="standard"/>
        <c:ser>
          <c:idx val="0"/>
          <c:order val="0"/>
          <c:tx>
            <c:v>Residential Property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Analysis!$C$7:$C$14</c:f>
              <c:numCache>
                <c:formatCode>0.00</c:formatCode>
                <c:ptCount val="8"/>
                <c:pt idx="0">
                  <c:v>117.54</c:v>
                </c:pt>
                <c:pt idx="1">
                  <c:v>118.35</c:v>
                </c:pt>
                <c:pt idx="2">
                  <c:v>118.05</c:v>
                </c:pt>
                <c:pt idx="3">
                  <c:v>119.2</c:v>
                </c:pt>
                <c:pt idx="4">
                  <c:v>120.19</c:v>
                </c:pt>
                <c:pt idx="5">
                  <c:v>123.56</c:v>
                </c:pt>
                <c:pt idx="6">
                  <c:v>125.63</c:v>
                </c:pt>
                <c:pt idx="7">
                  <c:v>127.04</c:v>
                </c:pt>
              </c:numCache>
            </c:numRef>
          </c:val>
        </c:ser>
        <c:ser>
          <c:idx val="1"/>
          <c:order val="1"/>
          <c:tx>
            <c:v>Established Houses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Analysis!$D$7:$D$14</c:f>
              <c:numCache>
                <c:formatCode>0.00</c:formatCode>
                <c:ptCount val="8"/>
                <c:pt idx="0">
                  <c:v>119.49</c:v>
                </c:pt>
                <c:pt idx="1">
                  <c:v>120.36</c:v>
                </c:pt>
                <c:pt idx="2">
                  <c:v>120.06</c:v>
                </c:pt>
                <c:pt idx="3">
                  <c:v>121.59</c:v>
                </c:pt>
                <c:pt idx="4">
                  <c:v>122.59</c:v>
                </c:pt>
                <c:pt idx="5">
                  <c:v>126.59</c:v>
                </c:pt>
                <c:pt idx="6">
                  <c:v>129.01</c:v>
                </c:pt>
                <c:pt idx="7">
                  <c:v>130.58000000000001</c:v>
                </c:pt>
              </c:numCache>
            </c:numRef>
          </c:val>
        </c:ser>
        <c:ser>
          <c:idx val="2"/>
          <c:order val="2"/>
          <c:tx>
            <c:v>Attached Dwellings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Analysis!$E$7:$E$14</c:f>
              <c:numCache>
                <c:formatCode>0.00</c:formatCode>
                <c:ptCount val="8"/>
                <c:pt idx="0">
                  <c:v>111.61</c:v>
                </c:pt>
                <c:pt idx="1">
                  <c:v>111.85</c:v>
                </c:pt>
                <c:pt idx="2">
                  <c:v>111.63</c:v>
                </c:pt>
                <c:pt idx="3">
                  <c:v>111.83</c:v>
                </c:pt>
                <c:pt idx="4">
                  <c:v>112.65</c:v>
                </c:pt>
                <c:pt idx="5">
                  <c:v>114.25</c:v>
                </c:pt>
                <c:pt idx="6">
                  <c:v>115.21</c:v>
                </c:pt>
                <c:pt idx="7">
                  <c:v>116.15</c:v>
                </c:pt>
              </c:numCache>
            </c:numRef>
          </c:val>
        </c:ser>
        <c:marker val="1"/>
        <c:axId val="59952128"/>
        <c:axId val="83846656"/>
      </c:lineChart>
      <c:catAx>
        <c:axId val="59952128"/>
        <c:scaling>
          <c:orientation val="minMax"/>
        </c:scaling>
        <c:axPos val="b"/>
        <c:majorGridlines>
          <c:spPr>
            <a:ln cmpd="sng">
              <a:solidFill>
                <a:sysClr val="windowText" lastClr="000000">
                  <a:tint val="75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(Month-Year)</a:t>
                </a:r>
              </a:p>
            </c:rich>
          </c:tx>
          <c:layout/>
        </c:title>
        <c:majorTickMark val="none"/>
        <c:tickLblPos val="nextTo"/>
        <c:crossAx val="83846656"/>
        <c:crosses val="autoZero"/>
        <c:auto val="1"/>
        <c:lblAlgn val="ctr"/>
        <c:lblOffset val="100"/>
      </c:catAx>
      <c:valAx>
        <c:axId val="83846656"/>
        <c:scaling>
          <c:orientation val="minMax"/>
        </c:scaling>
        <c:axPos val="l"/>
        <c:majorGridlines>
          <c:spPr>
            <a:ln>
              <a:solidFill>
                <a:sysClr val="windowText" lastClr="000000">
                  <a:tint val="75000"/>
                </a:sys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Index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layout/>
        </c:title>
        <c:numFmt formatCode="0.00" sourceLinked="1"/>
        <c:tickLblPos val="nextTo"/>
        <c:crossAx val="5995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051596207654345"/>
          <c:y val="0.26915768610720398"/>
          <c:w val="0.24559498072707492"/>
          <c:h val="0.22914986328351702"/>
        </c:manualLayout>
      </c:layout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Index</a:t>
            </a:r>
            <a:r>
              <a:rPr lang="en-US" baseline="0"/>
              <a:t> numbers for Greater Perth housing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Residential Property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Residential_Property!$G$7:$G$14</c:f>
              <c:numCache>
                <c:formatCode>General</c:formatCode>
                <c:ptCount val="8"/>
                <c:pt idx="0">
                  <c:v>110.7</c:v>
                </c:pt>
                <c:pt idx="1">
                  <c:v>111.2</c:v>
                </c:pt>
                <c:pt idx="2">
                  <c:v>109.3</c:v>
                </c:pt>
                <c:pt idx="3">
                  <c:v>108</c:v>
                </c:pt>
                <c:pt idx="4">
                  <c:v>106.3</c:v>
                </c:pt>
                <c:pt idx="5">
                  <c:v>106.6</c:v>
                </c:pt>
                <c:pt idx="6">
                  <c:v>105.5</c:v>
                </c:pt>
                <c:pt idx="7">
                  <c:v>104.7</c:v>
                </c:pt>
              </c:numCache>
            </c:numRef>
          </c:val>
        </c:ser>
        <c:ser>
          <c:idx val="1"/>
          <c:order val="1"/>
          <c:tx>
            <c:v>Established Houses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Established_Houses!$G$7:$G$14</c:f>
              <c:numCache>
                <c:formatCode>General</c:formatCode>
                <c:ptCount val="8"/>
                <c:pt idx="0">
                  <c:v>111.4</c:v>
                </c:pt>
                <c:pt idx="1">
                  <c:v>111.9</c:v>
                </c:pt>
                <c:pt idx="2">
                  <c:v>109.9</c:v>
                </c:pt>
                <c:pt idx="3">
                  <c:v>108.8</c:v>
                </c:pt>
                <c:pt idx="4">
                  <c:v>106.8</c:v>
                </c:pt>
                <c:pt idx="5">
                  <c:v>107.7</c:v>
                </c:pt>
                <c:pt idx="6">
                  <c:v>106.4</c:v>
                </c:pt>
                <c:pt idx="7">
                  <c:v>105.8</c:v>
                </c:pt>
              </c:numCache>
            </c:numRef>
          </c:val>
        </c:ser>
        <c:ser>
          <c:idx val="2"/>
          <c:order val="2"/>
          <c:tx>
            <c:v>Attached Dwellings</c:v>
          </c:tx>
          <c:cat>
            <c:strRef>
              <c:f>Analysis!$B$7:$B$14</c:f>
              <c:strCache>
                <c:ptCount val="8"/>
                <c:pt idx="0">
                  <c:v>Sep-2015</c:v>
                </c:pt>
                <c:pt idx="1">
                  <c:v>Dec-2015</c:v>
                </c:pt>
                <c:pt idx="2">
                  <c:v>Mar-2016</c:v>
                </c:pt>
                <c:pt idx="3">
                  <c:v>Jun-2016</c:v>
                </c:pt>
                <c:pt idx="4">
                  <c:v>Sep-2016</c:v>
                </c:pt>
                <c:pt idx="5">
                  <c:v>Dec-2016</c:v>
                </c:pt>
                <c:pt idx="6">
                  <c:v>Mar-2017</c:v>
                </c:pt>
                <c:pt idx="7">
                  <c:v>Jun-2017</c:v>
                </c:pt>
              </c:strCache>
            </c:strRef>
          </c:cat>
          <c:val>
            <c:numRef>
              <c:f>Attached_Dwellings!$G$7:$G$14</c:f>
              <c:numCache>
                <c:formatCode>General</c:formatCode>
                <c:ptCount val="8"/>
                <c:pt idx="0">
                  <c:v>107.6</c:v>
                </c:pt>
                <c:pt idx="1">
                  <c:v>107.8</c:v>
                </c:pt>
                <c:pt idx="2">
                  <c:v>106.6</c:v>
                </c:pt>
                <c:pt idx="3">
                  <c:v>104.8</c:v>
                </c:pt>
                <c:pt idx="4">
                  <c:v>104</c:v>
                </c:pt>
                <c:pt idx="5">
                  <c:v>102.2</c:v>
                </c:pt>
                <c:pt idx="6">
                  <c:v>101.3</c:v>
                </c:pt>
                <c:pt idx="7">
                  <c:v>99.8</c:v>
                </c:pt>
              </c:numCache>
            </c:numRef>
          </c:val>
        </c:ser>
        <c:axId val="83872768"/>
        <c:axId val="84481152"/>
      </c:barChart>
      <c:catAx>
        <c:axId val="83872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  <a:r>
                  <a:rPr lang="en-US" baseline="0"/>
                  <a:t> (Month-Year)</a:t>
                </a:r>
              </a:p>
            </c:rich>
          </c:tx>
          <c:layout/>
        </c:title>
        <c:majorTickMark val="none"/>
        <c:tickLblPos val="nextTo"/>
        <c:crossAx val="84481152"/>
        <c:crosses val="autoZero"/>
        <c:auto val="1"/>
        <c:lblAlgn val="ctr"/>
        <c:lblOffset val="100"/>
      </c:catAx>
      <c:valAx>
        <c:axId val="8448115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Index</a:t>
                </a:r>
                <a:r>
                  <a:rPr lang="en-US" baseline="0"/>
                  <a:t> Number</a:t>
                </a:r>
              </a:p>
            </c:rich>
          </c:tx>
          <c:layout/>
        </c:title>
        <c:numFmt formatCode="General" sourceLinked="1"/>
        <c:tickLblPos val="nextTo"/>
        <c:crossAx val="83872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954994904403061"/>
          <c:y val="0.19130971452582923"/>
          <c:w val="0.21720656179617834"/>
          <c:h val="0.25130328019539355"/>
        </c:manualLayout>
      </c:layout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8284</xdr:colOff>
      <xdr:row>33</xdr:row>
      <xdr:rowOff>16565</xdr:rowOff>
    </xdr:from>
    <xdr:to>
      <xdr:col>15</xdr:col>
      <xdr:colOff>157369</xdr:colOff>
      <xdr:row>49</xdr:row>
      <xdr:rowOff>57978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8283</xdr:colOff>
      <xdr:row>49</xdr:row>
      <xdr:rowOff>82821</xdr:rowOff>
    </xdr:from>
    <xdr:to>
      <xdr:col>15</xdr:col>
      <xdr:colOff>157369</xdr:colOff>
      <xdr:row>71</xdr:row>
      <xdr:rowOff>91106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tat.data.abs.gov.au/OECDStat_Metadata/ShowMetadata.ashx?Dataset=RES_PROP_INDEX&amp;Coords=%5bPROP_TYPE%5d.%5b3%5d&amp;ShowOnWeb=true&amp;Lang=e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stat.data.abs.gov.au/OECDStat_Metadata/ShowMetadata.ashx?Dataset=RES_PROP_INDEX&amp;Coords=%5bPROP_TYPE%5d.%5b1%5d&amp;ShowOnWeb=true&amp;Lang=en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1"/>
  <sheetViews>
    <sheetView showGridLines="0" topLeftCell="A2" workbookViewId="0">
      <selection activeCell="I17" sqref="I17"/>
    </sheetView>
  </sheetViews>
  <sheetFormatPr defaultRowHeight="12.75"/>
  <cols>
    <col min="1" max="2" width="27.42578125" customWidth="1"/>
  </cols>
  <sheetData>
    <row r="1" spans="1:11" hidden="1">
      <c r="A1" s="1" t="e">
        <f ca="1">DotStatQuery(B1)</f>
        <v>#NAME?</v>
      </c>
      <c r="B1" s="1" t="s">
        <v>0</v>
      </c>
    </row>
    <row r="2" spans="1:11">
      <c r="A2" t="s">
        <v>1</v>
      </c>
    </row>
    <row r="3" spans="1:11">
      <c r="A3" s="16" t="s">
        <v>2</v>
      </c>
      <c r="B3" s="17"/>
      <c r="C3" s="18" t="s">
        <v>3</v>
      </c>
      <c r="D3" s="19"/>
      <c r="E3" s="19"/>
      <c r="F3" s="19"/>
      <c r="G3" s="19"/>
      <c r="H3" s="19"/>
      <c r="I3" s="19"/>
      <c r="J3" s="19"/>
      <c r="K3" s="20"/>
    </row>
    <row r="4" spans="1:11">
      <c r="A4" s="16" t="s">
        <v>4</v>
      </c>
      <c r="B4" s="17"/>
      <c r="C4" s="21" t="s">
        <v>5</v>
      </c>
      <c r="D4" s="22"/>
      <c r="E4" s="22"/>
      <c r="F4" s="22"/>
      <c r="G4" s="22"/>
      <c r="H4" s="22"/>
      <c r="I4" s="22"/>
      <c r="J4" s="22"/>
      <c r="K4" s="23"/>
    </row>
    <row r="5" spans="1:11" ht="52.5">
      <c r="A5" s="24" t="s">
        <v>6</v>
      </c>
      <c r="B5" s="25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>
      <c r="A7" s="13" t="s">
        <v>19</v>
      </c>
      <c r="B7" s="5" t="s">
        <v>20</v>
      </c>
      <c r="C7" s="6">
        <v>154.4</v>
      </c>
      <c r="D7" s="6">
        <v>124.3</v>
      </c>
      <c r="E7" s="6">
        <v>115.2</v>
      </c>
      <c r="F7" s="6">
        <v>109.8</v>
      </c>
      <c r="G7" s="6">
        <v>110.7</v>
      </c>
      <c r="H7" s="6">
        <v>106.2</v>
      </c>
      <c r="I7" s="6">
        <v>112.1</v>
      </c>
      <c r="J7" s="6">
        <v>107.6</v>
      </c>
      <c r="K7" s="6">
        <v>130.4</v>
      </c>
    </row>
    <row r="8" spans="1:11">
      <c r="A8" s="14"/>
      <c r="B8" s="5" t="s">
        <v>21</v>
      </c>
      <c r="C8" s="7">
        <v>151.9</v>
      </c>
      <c r="D8" s="7">
        <v>126.3</v>
      </c>
      <c r="E8" s="7">
        <v>117</v>
      </c>
      <c r="F8" s="7">
        <v>110.8</v>
      </c>
      <c r="G8" s="7">
        <v>111.2</v>
      </c>
      <c r="H8" s="7">
        <v>108.9</v>
      </c>
      <c r="I8" s="7">
        <v>110.1</v>
      </c>
      <c r="J8" s="7">
        <v>110.6</v>
      </c>
      <c r="K8" s="7">
        <v>130.6</v>
      </c>
    </row>
    <row r="9" spans="1:11">
      <c r="A9" s="14"/>
      <c r="B9" s="5" t="s">
        <v>22</v>
      </c>
      <c r="C9" s="6">
        <v>150.9</v>
      </c>
      <c r="D9" s="6">
        <v>127.3</v>
      </c>
      <c r="E9" s="6">
        <v>117.3</v>
      </c>
      <c r="F9" s="6">
        <v>111.4</v>
      </c>
      <c r="G9" s="6">
        <v>109.3</v>
      </c>
      <c r="H9" s="6">
        <v>110.1</v>
      </c>
      <c r="I9" s="6">
        <v>107.9</v>
      </c>
      <c r="J9" s="6">
        <v>110.2</v>
      </c>
      <c r="K9" s="6">
        <v>130.4</v>
      </c>
    </row>
    <row r="10" spans="1:11">
      <c r="A10" s="14"/>
      <c r="B10" s="5" t="s">
        <v>23</v>
      </c>
      <c r="C10" s="7">
        <v>155.19999999999999</v>
      </c>
      <c r="D10" s="7">
        <v>130.69999999999999</v>
      </c>
      <c r="E10" s="7">
        <v>118.6</v>
      </c>
      <c r="F10" s="7">
        <v>112.3</v>
      </c>
      <c r="G10" s="7">
        <v>108</v>
      </c>
      <c r="H10" s="7">
        <v>110.9</v>
      </c>
      <c r="I10" s="7">
        <v>105.3</v>
      </c>
      <c r="J10" s="7">
        <v>112.6</v>
      </c>
      <c r="K10" s="7">
        <v>133</v>
      </c>
    </row>
    <row r="11" spans="1:11">
      <c r="A11" s="14"/>
      <c r="B11" s="5" t="s">
        <v>24</v>
      </c>
      <c r="C11" s="6">
        <v>159.30000000000001</v>
      </c>
      <c r="D11" s="6">
        <v>132.9</v>
      </c>
      <c r="E11" s="6">
        <v>118.8</v>
      </c>
      <c r="F11" s="6">
        <v>113.3</v>
      </c>
      <c r="G11" s="6">
        <v>106.3</v>
      </c>
      <c r="H11" s="6">
        <v>113.4</v>
      </c>
      <c r="I11" s="6">
        <v>104</v>
      </c>
      <c r="J11" s="6">
        <v>113.5</v>
      </c>
      <c r="K11" s="6">
        <v>135</v>
      </c>
    </row>
    <row r="12" spans="1:11">
      <c r="A12" s="14"/>
      <c r="B12" s="5" t="s">
        <v>25</v>
      </c>
      <c r="C12" s="7">
        <v>167.6</v>
      </c>
      <c r="D12" s="7">
        <v>140</v>
      </c>
      <c r="E12" s="7">
        <v>121.4</v>
      </c>
      <c r="F12" s="7">
        <v>115.3</v>
      </c>
      <c r="G12" s="7">
        <v>106.6</v>
      </c>
      <c r="H12" s="7">
        <v>118.5</v>
      </c>
      <c r="I12" s="7">
        <v>102.4</v>
      </c>
      <c r="J12" s="7">
        <v>116.7</v>
      </c>
      <c r="K12" s="7">
        <v>140.6</v>
      </c>
    </row>
    <row r="13" spans="1:11">
      <c r="A13" s="14"/>
      <c r="B13" s="5" t="s">
        <v>26</v>
      </c>
      <c r="C13" s="6">
        <v>172.7</v>
      </c>
      <c r="D13" s="6">
        <v>144.4</v>
      </c>
      <c r="E13" s="6">
        <v>121.4</v>
      </c>
      <c r="F13" s="6">
        <v>117</v>
      </c>
      <c r="G13" s="6">
        <v>105.5</v>
      </c>
      <c r="H13" s="6">
        <v>122.5</v>
      </c>
      <c r="I13" s="6">
        <v>101.5</v>
      </c>
      <c r="J13" s="6">
        <v>120</v>
      </c>
      <c r="K13" s="6">
        <v>143.69999999999999</v>
      </c>
    </row>
    <row r="14" spans="1:11">
      <c r="A14" s="15"/>
      <c r="B14" s="5" t="s">
        <v>27</v>
      </c>
      <c r="C14" s="7">
        <v>176.6</v>
      </c>
      <c r="D14" s="7">
        <v>148.69999999999999</v>
      </c>
      <c r="E14" s="7">
        <v>122.1</v>
      </c>
      <c r="F14" s="7">
        <v>117.9</v>
      </c>
      <c r="G14" s="7">
        <v>104.7</v>
      </c>
      <c r="H14" s="7">
        <v>124.7</v>
      </c>
      <c r="I14" s="7">
        <v>100.1</v>
      </c>
      <c r="J14" s="7">
        <v>121.5</v>
      </c>
      <c r="K14" s="7">
        <v>146.5</v>
      </c>
    </row>
    <row r="15" spans="1:11">
      <c r="A15" s="13" t="s">
        <v>28</v>
      </c>
      <c r="B15" s="5" t="s">
        <v>20</v>
      </c>
      <c r="C15" s="6">
        <v>3.1</v>
      </c>
      <c r="D15" s="6">
        <v>2.9</v>
      </c>
      <c r="E15" s="6">
        <v>1.3</v>
      </c>
      <c r="F15" s="6">
        <v>1.2</v>
      </c>
      <c r="G15" s="6">
        <v>-2.4</v>
      </c>
      <c r="H15" s="6">
        <v>0.5</v>
      </c>
      <c r="I15" s="6">
        <v>-0.4</v>
      </c>
      <c r="J15" s="6">
        <v>1.3</v>
      </c>
      <c r="K15" s="6">
        <v>2</v>
      </c>
    </row>
    <row r="16" spans="1:11">
      <c r="A16" s="14"/>
      <c r="B16" s="5" t="s">
        <v>21</v>
      </c>
      <c r="C16" s="7">
        <v>-1.6</v>
      </c>
      <c r="D16" s="7">
        <v>1.6</v>
      </c>
      <c r="E16" s="7">
        <v>1.6</v>
      </c>
      <c r="F16" s="7">
        <v>0.9</v>
      </c>
      <c r="G16" s="7">
        <v>0.5</v>
      </c>
      <c r="H16" s="7">
        <v>2.5</v>
      </c>
      <c r="I16" s="7">
        <v>-1.8</v>
      </c>
      <c r="J16" s="7">
        <v>2.8</v>
      </c>
      <c r="K16" s="7">
        <v>0.2</v>
      </c>
    </row>
    <row r="17" spans="1:11">
      <c r="A17" s="14"/>
      <c r="B17" s="5" t="s">
        <v>22</v>
      </c>
      <c r="C17" s="6">
        <v>-0.7</v>
      </c>
      <c r="D17" s="6">
        <v>0.8</v>
      </c>
      <c r="E17" s="6">
        <v>0.3</v>
      </c>
      <c r="F17" s="6">
        <v>0.5</v>
      </c>
      <c r="G17" s="6">
        <v>-1.7</v>
      </c>
      <c r="H17" s="6">
        <v>1.1000000000000001</v>
      </c>
      <c r="I17" s="6">
        <v>-2</v>
      </c>
      <c r="J17" s="6">
        <v>-0.4</v>
      </c>
      <c r="K17" s="6">
        <v>-0.2</v>
      </c>
    </row>
    <row r="18" spans="1:11">
      <c r="A18" s="14"/>
      <c r="B18" s="5" t="s">
        <v>23</v>
      </c>
      <c r="C18" s="7">
        <v>2.8</v>
      </c>
      <c r="D18" s="7">
        <v>2.7</v>
      </c>
      <c r="E18" s="7">
        <v>1.1000000000000001</v>
      </c>
      <c r="F18" s="7">
        <v>0.8</v>
      </c>
      <c r="G18" s="7">
        <v>-1.2</v>
      </c>
      <c r="H18" s="7">
        <v>0.7</v>
      </c>
      <c r="I18" s="7">
        <v>-2.4</v>
      </c>
      <c r="J18" s="7">
        <v>2.2000000000000002</v>
      </c>
      <c r="K18" s="7">
        <v>2</v>
      </c>
    </row>
    <row r="19" spans="1:11">
      <c r="A19" s="14"/>
      <c r="B19" s="5" t="s">
        <v>24</v>
      </c>
      <c r="C19" s="6">
        <v>2.6</v>
      </c>
      <c r="D19" s="6">
        <v>1.7</v>
      </c>
      <c r="E19" s="6">
        <v>0.2</v>
      </c>
      <c r="F19" s="6">
        <v>0.9</v>
      </c>
      <c r="G19" s="6">
        <v>-1.6</v>
      </c>
      <c r="H19" s="6">
        <v>2.2999999999999998</v>
      </c>
      <c r="I19" s="6">
        <v>-1.2</v>
      </c>
      <c r="J19" s="6">
        <v>0.8</v>
      </c>
      <c r="K19" s="6">
        <v>1.5</v>
      </c>
    </row>
    <row r="20" spans="1:11">
      <c r="A20" s="14"/>
      <c r="B20" s="5" t="s">
        <v>25</v>
      </c>
      <c r="C20" s="7">
        <v>5.2</v>
      </c>
      <c r="D20" s="7">
        <v>5.3</v>
      </c>
      <c r="E20" s="7">
        <v>2.2000000000000002</v>
      </c>
      <c r="F20" s="7">
        <v>1.8</v>
      </c>
      <c r="G20" s="7">
        <v>0.3</v>
      </c>
      <c r="H20" s="7">
        <v>4.5</v>
      </c>
      <c r="I20" s="7">
        <v>-1.5</v>
      </c>
      <c r="J20" s="7">
        <v>2.8</v>
      </c>
      <c r="K20" s="7">
        <v>4.0999999999999996</v>
      </c>
    </row>
    <row r="21" spans="1:11">
      <c r="A21" s="14"/>
      <c r="B21" s="5" t="s">
        <v>26</v>
      </c>
      <c r="C21" s="6">
        <v>3</v>
      </c>
      <c r="D21" s="6">
        <v>3.1</v>
      </c>
      <c r="E21" s="6">
        <v>0</v>
      </c>
      <c r="F21" s="6">
        <v>1.5</v>
      </c>
      <c r="G21" s="6">
        <v>-1</v>
      </c>
      <c r="H21" s="6">
        <v>3.4</v>
      </c>
      <c r="I21" s="6">
        <v>-0.9</v>
      </c>
      <c r="J21" s="6">
        <v>2.8</v>
      </c>
      <c r="K21" s="6">
        <v>2.2000000000000002</v>
      </c>
    </row>
    <row r="22" spans="1:11">
      <c r="A22" s="15"/>
      <c r="B22" s="5" t="s">
        <v>27</v>
      </c>
      <c r="C22" s="7">
        <v>2.2999999999999998</v>
      </c>
      <c r="D22" s="7">
        <v>3</v>
      </c>
      <c r="E22" s="7">
        <v>0.6</v>
      </c>
      <c r="F22" s="7">
        <v>0.8</v>
      </c>
      <c r="G22" s="7">
        <v>-0.8</v>
      </c>
      <c r="H22" s="7">
        <v>1.8</v>
      </c>
      <c r="I22" s="7">
        <v>-1.4</v>
      </c>
      <c r="J22" s="7">
        <v>1.3</v>
      </c>
      <c r="K22" s="7">
        <v>1.9</v>
      </c>
    </row>
    <row r="23" spans="1:11">
      <c r="A23" s="13" t="s">
        <v>29</v>
      </c>
      <c r="B23" s="5" t="s">
        <v>20</v>
      </c>
      <c r="C23" s="6">
        <v>19.899999999999999</v>
      </c>
      <c r="D23" s="6">
        <v>9.9</v>
      </c>
      <c r="E23" s="6">
        <v>3.8</v>
      </c>
      <c r="F23" s="6">
        <v>3.5</v>
      </c>
      <c r="G23" s="6">
        <v>-3.3</v>
      </c>
      <c r="H23" s="6">
        <v>1.7</v>
      </c>
      <c r="I23" s="6">
        <v>-2</v>
      </c>
      <c r="J23" s="6">
        <v>4</v>
      </c>
      <c r="K23" s="6">
        <v>10.7</v>
      </c>
    </row>
    <row r="24" spans="1:11">
      <c r="A24" s="14"/>
      <c r="B24" s="5" t="s">
        <v>21</v>
      </c>
      <c r="C24" s="7">
        <v>13.9</v>
      </c>
      <c r="D24" s="7">
        <v>9.6</v>
      </c>
      <c r="E24" s="7">
        <v>4.2</v>
      </c>
      <c r="F24" s="7">
        <v>3.3</v>
      </c>
      <c r="G24" s="7">
        <v>-2.9</v>
      </c>
      <c r="H24" s="7">
        <v>3.5</v>
      </c>
      <c r="I24" s="7">
        <v>-3.2</v>
      </c>
      <c r="J24" s="7">
        <v>6</v>
      </c>
      <c r="K24" s="7">
        <v>8.6999999999999993</v>
      </c>
    </row>
    <row r="25" spans="1:11">
      <c r="A25" s="14"/>
      <c r="B25" s="5" t="s">
        <v>22</v>
      </c>
      <c r="C25" s="6">
        <v>9.6999999999999993</v>
      </c>
      <c r="D25" s="6">
        <v>9.8000000000000007</v>
      </c>
      <c r="E25" s="6">
        <v>4.0999999999999996</v>
      </c>
      <c r="F25" s="6">
        <v>3.1</v>
      </c>
      <c r="G25" s="6">
        <v>-4.5</v>
      </c>
      <c r="H25" s="6">
        <v>4.2</v>
      </c>
      <c r="I25" s="6">
        <v>-4.9000000000000004</v>
      </c>
      <c r="J25" s="6">
        <v>4.5999999999999996</v>
      </c>
      <c r="K25" s="6">
        <v>6.8</v>
      </c>
    </row>
    <row r="26" spans="1:11">
      <c r="A26" s="14"/>
      <c r="B26" s="5" t="s">
        <v>23</v>
      </c>
      <c r="C26" s="7">
        <v>3.6</v>
      </c>
      <c r="D26" s="7">
        <v>8.1999999999999993</v>
      </c>
      <c r="E26" s="7">
        <v>4.3</v>
      </c>
      <c r="F26" s="7">
        <v>3.5</v>
      </c>
      <c r="G26" s="7">
        <v>-4.8</v>
      </c>
      <c r="H26" s="7">
        <v>4.9000000000000004</v>
      </c>
      <c r="I26" s="7">
        <v>-6.5</v>
      </c>
      <c r="J26" s="7">
        <v>6</v>
      </c>
      <c r="K26" s="7">
        <v>4.0999999999999996</v>
      </c>
    </row>
    <row r="27" spans="1:11">
      <c r="A27" s="14"/>
      <c r="B27" s="5" t="s">
        <v>24</v>
      </c>
      <c r="C27" s="6">
        <v>3.2</v>
      </c>
      <c r="D27" s="6">
        <v>6.9</v>
      </c>
      <c r="E27" s="6">
        <v>3.1</v>
      </c>
      <c r="F27" s="6">
        <v>3.2</v>
      </c>
      <c r="G27" s="6">
        <v>-4</v>
      </c>
      <c r="H27" s="6">
        <v>6.8</v>
      </c>
      <c r="I27" s="6">
        <v>-7.2</v>
      </c>
      <c r="J27" s="6">
        <v>5.5</v>
      </c>
      <c r="K27" s="6">
        <v>3.5</v>
      </c>
    </row>
    <row r="28" spans="1:11">
      <c r="A28" s="14"/>
      <c r="B28" s="5" t="s">
        <v>25</v>
      </c>
      <c r="C28" s="7">
        <v>10.3</v>
      </c>
      <c r="D28" s="7">
        <v>10.8</v>
      </c>
      <c r="E28" s="7">
        <v>3.8</v>
      </c>
      <c r="F28" s="7">
        <v>4.0999999999999996</v>
      </c>
      <c r="G28" s="7">
        <v>-4.0999999999999996</v>
      </c>
      <c r="H28" s="7">
        <v>8.8000000000000007</v>
      </c>
      <c r="I28" s="7">
        <v>-7</v>
      </c>
      <c r="J28" s="7">
        <v>5.5</v>
      </c>
      <c r="K28" s="7">
        <v>7.7</v>
      </c>
    </row>
    <row r="29" spans="1:11">
      <c r="A29" s="14"/>
      <c r="B29" s="5" t="s">
        <v>26</v>
      </c>
      <c r="C29" s="6">
        <v>14.4</v>
      </c>
      <c r="D29" s="6">
        <v>13.4</v>
      </c>
      <c r="E29" s="6">
        <v>3.5</v>
      </c>
      <c r="F29" s="6">
        <v>5</v>
      </c>
      <c r="G29" s="6">
        <v>-3.5</v>
      </c>
      <c r="H29" s="6">
        <v>11.3</v>
      </c>
      <c r="I29" s="6">
        <v>-5.9</v>
      </c>
      <c r="J29" s="6">
        <v>8.9</v>
      </c>
      <c r="K29" s="6">
        <v>10.199999999999999</v>
      </c>
    </row>
    <row r="30" spans="1:11">
      <c r="A30" s="15"/>
      <c r="B30" s="5" t="s">
        <v>27</v>
      </c>
      <c r="C30" s="7">
        <v>13.8</v>
      </c>
      <c r="D30" s="7">
        <v>13.8</v>
      </c>
      <c r="E30" s="7">
        <v>3</v>
      </c>
      <c r="F30" s="7">
        <v>5</v>
      </c>
      <c r="G30" s="7">
        <v>-3.1</v>
      </c>
      <c r="H30" s="7">
        <v>12.4</v>
      </c>
      <c r="I30" s="7">
        <v>-4.9000000000000004</v>
      </c>
      <c r="J30" s="7">
        <v>7.9</v>
      </c>
      <c r="K30" s="7">
        <v>10.199999999999999</v>
      </c>
    </row>
    <row r="31" spans="1:11">
      <c r="A31" t="s">
        <v>30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hyperlinks>
    <hyperlink ref="C3" r:id="rId1" tooltip="Click once to display linked information. Click and hold to select this cell." display="http://stat.data.abs.gov.au/OECDStat_Metadata/ShowMetadata.ashx?Dataset=RES_PROP_INDEX&amp;Coords=[PROP_TYPE].[3]&amp;ShowOnWeb=true&amp;Lang=en"/>
  </hyperlinks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31"/>
  <sheetViews>
    <sheetView topLeftCell="A2" workbookViewId="0">
      <selection activeCell="I17" sqref="I17"/>
    </sheetView>
  </sheetViews>
  <sheetFormatPr defaultRowHeight="12.75"/>
  <cols>
    <col min="1" max="2" width="27.42578125" customWidth="1"/>
  </cols>
  <sheetData>
    <row r="1" spans="1:11" hidden="1">
      <c r="A1" s="1" t="e">
        <f ca="1">DotStatQuery(B1)</f>
        <v>#NAME?</v>
      </c>
      <c r="B1" s="1" t="s">
        <v>31</v>
      </c>
    </row>
    <row r="2" spans="1:11">
      <c r="A2" t="s">
        <v>1</v>
      </c>
    </row>
    <row r="3" spans="1:11">
      <c r="A3" s="16" t="s">
        <v>2</v>
      </c>
      <c r="B3" s="17"/>
      <c r="C3" s="21" t="s">
        <v>32</v>
      </c>
      <c r="D3" s="22"/>
      <c r="E3" s="22"/>
      <c r="F3" s="22"/>
      <c r="G3" s="22"/>
      <c r="H3" s="22"/>
      <c r="I3" s="22"/>
      <c r="J3" s="22"/>
      <c r="K3" s="23"/>
    </row>
    <row r="4" spans="1:11">
      <c r="A4" s="16" t="s">
        <v>4</v>
      </c>
      <c r="B4" s="17"/>
      <c r="C4" s="21" t="s">
        <v>5</v>
      </c>
      <c r="D4" s="22"/>
      <c r="E4" s="22"/>
      <c r="F4" s="22"/>
      <c r="G4" s="22"/>
      <c r="H4" s="22"/>
      <c r="I4" s="22"/>
      <c r="J4" s="22"/>
      <c r="K4" s="23"/>
    </row>
    <row r="5" spans="1:11" ht="52.5">
      <c r="A5" s="24" t="s">
        <v>6</v>
      </c>
      <c r="B5" s="25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>
      <c r="A7" s="13" t="s">
        <v>19</v>
      </c>
      <c r="B7" s="5" t="s">
        <v>20</v>
      </c>
      <c r="C7" s="6">
        <v>159.1</v>
      </c>
      <c r="D7" s="6">
        <v>127.5</v>
      </c>
      <c r="E7" s="6">
        <v>116.4</v>
      </c>
      <c r="F7" s="6">
        <v>111.4</v>
      </c>
      <c r="G7" s="6">
        <v>111.4</v>
      </c>
      <c r="H7" s="6">
        <v>107</v>
      </c>
      <c r="I7" s="6">
        <v>112.9</v>
      </c>
      <c r="J7" s="6">
        <v>110.2</v>
      </c>
      <c r="K7" s="6">
        <v>131.9</v>
      </c>
    </row>
    <row r="8" spans="1:11">
      <c r="A8" s="14"/>
      <c r="B8" s="5" t="s">
        <v>21</v>
      </c>
      <c r="C8" s="7">
        <v>155.69999999999999</v>
      </c>
      <c r="D8" s="7">
        <v>129.80000000000001</v>
      </c>
      <c r="E8" s="7">
        <v>118.4</v>
      </c>
      <c r="F8" s="7">
        <v>112.8</v>
      </c>
      <c r="G8" s="7">
        <v>111.9</v>
      </c>
      <c r="H8" s="7">
        <v>109.8</v>
      </c>
      <c r="I8" s="7">
        <v>110.8</v>
      </c>
      <c r="J8" s="7">
        <v>113.7</v>
      </c>
      <c r="K8" s="7">
        <v>132.1</v>
      </c>
    </row>
    <row r="9" spans="1:11">
      <c r="A9" s="14"/>
      <c r="B9" s="5" t="s">
        <v>22</v>
      </c>
      <c r="C9" s="6">
        <v>154.80000000000001</v>
      </c>
      <c r="D9" s="6">
        <v>131.6</v>
      </c>
      <c r="E9" s="6">
        <v>118.6</v>
      </c>
      <c r="F9" s="6">
        <v>113.5</v>
      </c>
      <c r="G9" s="6">
        <v>109.9</v>
      </c>
      <c r="H9" s="6">
        <v>110.8</v>
      </c>
      <c r="I9" s="6">
        <v>107.7</v>
      </c>
      <c r="J9" s="6">
        <v>113.6</v>
      </c>
      <c r="K9" s="6">
        <v>132.1</v>
      </c>
    </row>
    <row r="10" spans="1:11">
      <c r="A10" s="14"/>
      <c r="B10" s="5" t="s">
        <v>23</v>
      </c>
      <c r="C10" s="7">
        <v>159.69999999999999</v>
      </c>
      <c r="D10" s="7">
        <v>135.69999999999999</v>
      </c>
      <c r="E10" s="7">
        <v>120</v>
      </c>
      <c r="F10" s="7">
        <v>114.6</v>
      </c>
      <c r="G10" s="7">
        <v>108.8</v>
      </c>
      <c r="H10" s="7">
        <v>111.5</v>
      </c>
      <c r="I10" s="7">
        <v>105.6</v>
      </c>
      <c r="J10" s="7">
        <v>116.8</v>
      </c>
      <c r="K10" s="7">
        <v>135.1</v>
      </c>
    </row>
    <row r="11" spans="1:11">
      <c r="A11" s="14"/>
      <c r="B11" s="5" t="s">
        <v>24</v>
      </c>
      <c r="C11" s="6">
        <v>164.4</v>
      </c>
      <c r="D11" s="6">
        <v>138.5</v>
      </c>
      <c r="E11" s="6">
        <v>120.4</v>
      </c>
      <c r="F11" s="6">
        <v>115.7</v>
      </c>
      <c r="G11" s="6">
        <v>106.8</v>
      </c>
      <c r="H11" s="6">
        <v>113.9</v>
      </c>
      <c r="I11" s="6">
        <v>103.3</v>
      </c>
      <c r="J11" s="6">
        <v>117.7</v>
      </c>
      <c r="K11" s="6">
        <v>137.30000000000001</v>
      </c>
    </row>
    <row r="12" spans="1:11">
      <c r="A12" s="14"/>
      <c r="B12" s="5" t="s">
        <v>25</v>
      </c>
      <c r="C12" s="7">
        <v>174.4</v>
      </c>
      <c r="D12" s="7">
        <v>146.80000000000001</v>
      </c>
      <c r="E12" s="7">
        <v>123.9</v>
      </c>
      <c r="F12" s="7">
        <v>117.7</v>
      </c>
      <c r="G12" s="7">
        <v>107.7</v>
      </c>
      <c r="H12" s="7">
        <v>118.9</v>
      </c>
      <c r="I12" s="7">
        <v>102.1</v>
      </c>
      <c r="J12" s="7">
        <v>121.2</v>
      </c>
      <c r="K12" s="7">
        <v>143.80000000000001</v>
      </c>
    </row>
    <row r="13" spans="1:11">
      <c r="A13" s="14"/>
      <c r="B13" s="5" t="s">
        <v>26</v>
      </c>
      <c r="C13" s="6">
        <v>179.5</v>
      </c>
      <c r="D13" s="6">
        <v>152.80000000000001</v>
      </c>
      <c r="E13" s="6">
        <v>123.7</v>
      </c>
      <c r="F13" s="6">
        <v>119.8</v>
      </c>
      <c r="G13" s="6">
        <v>106.4</v>
      </c>
      <c r="H13" s="6">
        <v>122.6</v>
      </c>
      <c r="I13" s="6">
        <v>101.7</v>
      </c>
      <c r="J13" s="6">
        <v>125.6</v>
      </c>
      <c r="K13" s="6">
        <v>147.30000000000001</v>
      </c>
    </row>
    <row r="14" spans="1:11">
      <c r="A14" s="15"/>
      <c r="B14" s="5" t="s">
        <v>27</v>
      </c>
      <c r="C14" s="7">
        <v>183.3</v>
      </c>
      <c r="D14" s="7">
        <v>157.4</v>
      </c>
      <c r="E14" s="7">
        <v>124.7</v>
      </c>
      <c r="F14" s="7">
        <v>120.4</v>
      </c>
      <c r="G14" s="7">
        <v>105.8</v>
      </c>
      <c r="H14" s="7">
        <v>125.1</v>
      </c>
      <c r="I14" s="7">
        <v>100.6</v>
      </c>
      <c r="J14" s="7">
        <v>127.3</v>
      </c>
      <c r="K14" s="7">
        <v>150.1</v>
      </c>
    </row>
    <row r="15" spans="1:11">
      <c r="A15" s="13" t="s">
        <v>28</v>
      </c>
      <c r="B15" s="5" t="s">
        <v>20</v>
      </c>
      <c r="C15" s="6">
        <v>3.3</v>
      </c>
      <c r="D15" s="6">
        <v>3.2</v>
      </c>
      <c r="E15" s="6">
        <v>1.7</v>
      </c>
      <c r="F15" s="6">
        <v>1.3</v>
      </c>
      <c r="G15" s="6">
        <v>-2.5</v>
      </c>
      <c r="H15" s="6">
        <v>0.4</v>
      </c>
      <c r="I15" s="6">
        <v>-0.4</v>
      </c>
      <c r="J15" s="6">
        <v>1.8</v>
      </c>
      <c r="K15" s="6">
        <v>2.2000000000000002</v>
      </c>
    </row>
    <row r="16" spans="1:11">
      <c r="A16" s="14"/>
      <c r="B16" s="5" t="s">
        <v>21</v>
      </c>
      <c r="C16" s="7">
        <v>-2.1</v>
      </c>
      <c r="D16" s="7">
        <v>1.8</v>
      </c>
      <c r="E16" s="7">
        <v>1.7</v>
      </c>
      <c r="F16" s="7">
        <v>1.3</v>
      </c>
      <c r="G16" s="7">
        <v>0.4</v>
      </c>
      <c r="H16" s="7">
        <v>2.6</v>
      </c>
      <c r="I16" s="7">
        <v>-1.9</v>
      </c>
      <c r="J16" s="7">
        <v>3.2</v>
      </c>
      <c r="K16" s="7">
        <v>0.2</v>
      </c>
    </row>
    <row r="17" spans="1:11">
      <c r="A17" s="14"/>
      <c r="B17" s="5" t="s">
        <v>22</v>
      </c>
      <c r="C17" s="6">
        <v>-0.6</v>
      </c>
      <c r="D17" s="6">
        <v>1.4</v>
      </c>
      <c r="E17" s="6">
        <v>0.2</v>
      </c>
      <c r="F17" s="6">
        <v>0.6</v>
      </c>
      <c r="G17" s="6">
        <v>-1.8</v>
      </c>
      <c r="H17" s="6">
        <v>0.9</v>
      </c>
      <c r="I17" s="6">
        <v>-2.8</v>
      </c>
      <c r="J17" s="6">
        <v>-0.1</v>
      </c>
      <c r="K17" s="6">
        <v>0</v>
      </c>
    </row>
    <row r="18" spans="1:11">
      <c r="A18" s="14"/>
      <c r="B18" s="5" t="s">
        <v>23</v>
      </c>
      <c r="C18" s="7">
        <v>3.2</v>
      </c>
      <c r="D18" s="7">
        <v>3.1</v>
      </c>
      <c r="E18" s="7">
        <v>1.2</v>
      </c>
      <c r="F18" s="7">
        <v>1</v>
      </c>
      <c r="G18" s="7">
        <v>-1</v>
      </c>
      <c r="H18" s="7">
        <v>0.6</v>
      </c>
      <c r="I18" s="7">
        <v>-1.9</v>
      </c>
      <c r="J18" s="7">
        <v>2.8</v>
      </c>
      <c r="K18" s="7">
        <v>2.2999999999999998</v>
      </c>
    </row>
    <row r="19" spans="1:11">
      <c r="A19" s="14"/>
      <c r="B19" s="5" t="s">
        <v>24</v>
      </c>
      <c r="C19" s="6">
        <v>2.9</v>
      </c>
      <c r="D19" s="6">
        <v>2.1</v>
      </c>
      <c r="E19" s="6">
        <v>0.3</v>
      </c>
      <c r="F19" s="6">
        <v>1</v>
      </c>
      <c r="G19" s="6">
        <v>-1.8</v>
      </c>
      <c r="H19" s="6">
        <v>2.2000000000000002</v>
      </c>
      <c r="I19" s="6">
        <v>-2.2000000000000002</v>
      </c>
      <c r="J19" s="6">
        <v>0.8</v>
      </c>
      <c r="K19" s="6">
        <v>1.6</v>
      </c>
    </row>
    <row r="20" spans="1:11">
      <c r="A20" s="14"/>
      <c r="B20" s="5" t="s">
        <v>25</v>
      </c>
      <c r="C20" s="7">
        <v>6.1</v>
      </c>
      <c r="D20" s="7">
        <v>6</v>
      </c>
      <c r="E20" s="7">
        <v>2.9</v>
      </c>
      <c r="F20" s="7">
        <v>1.7</v>
      </c>
      <c r="G20" s="7">
        <v>0.8</v>
      </c>
      <c r="H20" s="7">
        <v>4.4000000000000004</v>
      </c>
      <c r="I20" s="7">
        <v>-1.2</v>
      </c>
      <c r="J20" s="7">
        <v>3</v>
      </c>
      <c r="K20" s="7">
        <v>4.7</v>
      </c>
    </row>
    <row r="21" spans="1:11">
      <c r="A21" s="14"/>
      <c r="B21" s="5" t="s">
        <v>26</v>
      </c>
      <c r="C21" s="6">
        <v>2.9</v>
      </c>
      <c r="D21" s="6">
        <v>4.0999999999999996</v>
      </c>
      <c r="E21" s="6">
        <v>-0.2</v>
      </c>
      <c r="F21" s="6">
        <v>1.8</v>
      </c>
      <c r="G21" s="6">
        <v>-1.2</v>
      </c>
      <c r="H21" s="6">
        <v>3.1</v>
      </c>
      <c r="I21" s="6">
        <v>-0.4</v>
      </c>
      <c r="J21" s="6">
        <v>3.6</v>
      </c>
      <c r="K21" s="6">
        <v>2.4</v>
      </c>
    </row>
    <row r="22" spans="1:11">
      <c r="A22" s="15"/>
      <c r="B22" s="5" t="s">
        <v>27</v>
      </c>
      <c r="C22" s="7">
        <v>2.1</v>
      </c>
      <c r="D22" s="7">
        <v>3</v>
      </c>
      <c r="E22" s="7">
        <v>0.8</v>
      </c>
      <c r="F22" s="7">
        <v>0.5</v>
      </c>
      <c r="G22" s="7">
        <v>-0.6</v>
      </c>
      <c r="H22" s="7">
        <v>2</v>
      </c>
      <c r="I22" s="7">
        <v>-1.1000000000000001</v>
      </c>
      <c r="J22" s="7">
        <v>1.4</v>
      </c>
      <c r="K22" s="7">
        <v>1.9</v>
      </c>
    </row>
    <row r="23" spans="1:11">
      <c r="A23" s="13" t="s">
        <v>29</v>
      </c>
      <c r="B23" s="5" t="s">
        <v>20</v>
      </c>
      <c r="C23" s="6">
        <v>21.9</v>
      </c>
      <c r="D23" s="6">
        <v>11.5</v>
      </c>
      <c r="E23" s="6">
        <v>4.5</v>
      </c>
      <c r="F23" s="6">
        <v>3.8</v>
      </c>
      <c r="G23" s="6">
        <v>-3.4</v>
      </c>
      <c r="H23" s="6">
        <v>1.9</v>
      </c>
      <c r="I23" s="6">
        <v>-1.7</v>
      </c>
      <c r="J23" s="6">
        <v>5.5</v>
      </c>
      <c r="K23" s="6">
        <v>11.4</v>
      </c>
    </row>
    <row r="24" spans="1:11">
      <c r="A24" s="14"/>
      <c r="B24" s="5" t="s">
        <v>21</v>
      </c>
      <c r="C24" s="7">
        <v>15.2</v>
      </c>
      <c r="D24" s="7">
        <v>11.3</v>
      </c>
      <c r="E24" s="7">
        <v>4.5999999999999996</v>
      </c>
      <c r="F24" s="7">
        <v>3.9</v>
      </c>
      <c r="G24" s="7">
        <v>-2.9</v>
      </c>
      <c r="H24" s="7">
        <v>3.6</v>
      </c>
      <c r="I24" s="7">
        <v>-2.8</v>
      </c>
      <c r="J24" s="7">
        <v>7.8</v>
      </c>
      <c r="K24" s="7">
        <v>9.3000000000000007</v>
      </c>
    </row>
    <row r="25" spans="1:11">
      <c r="A25" s="14"/>
      <c r="B25" s="5" t="s">
        <v>22</v>
      </c>
      <c r="C25" s="6">
        <v>10.3</v>
      </c>
      <c r="D25" s="6">
        <v>11.5</v>
      </c>
      <c r="E25" s="6">
        <v>4.5</v>
      </c>
      <c r="F25" s="6">
        <v>3.7</v>
      </c>
      <c r="G25" s="6">
        <v>-4.7</v>
      </c>
      <c r="H25" s="6">
        <v>4</v>
      </c>
      <c r="I25" s="6">
        <v>-5.4</v>
      </c>
      <c r="J25" s="6">
        <v>6.1</v>
      </c>
      <c r="K25" s="6">
        <v>7.4</v>
      </c>
    </row>
    <row r="26" spans="1:11">
      <c r="A26" s="14"/>
      <c r="B26" s="5" t="s">
        <v>23</v>
      </c>
      <c r="C26" s="7">
        <v>3.7</v>
      </c>
      <c r="D26" s="7">
        <v>9.9</v>
      </c>
      <c r="E26" s="7">
        <v>4.8</v>
      </c>
      <c r="F26" s="7">
        <v>4.2</v>
      </c>
      <c r="G26" s="7">
        <v>-4.7</v>
      </c>
      <c r="H26" s="7">
        <v>4.5999999999999996</v>
      </c>
      <c r="I26" s="7">
        <v>-6.8</v>
      </c>
      <c r="J26" s="7">
        <v>7.9</v>
      </c>
      <c r="K26" s="7">
        <v>4.5999999999999996</v>
      </c>
    </row>
    <row r="27" spans="1:11">
      <c r="A27" s="14"/>
      <c r="B27" s="5" t="s">
        <v>24</v>
      </c>
      <c r="C27" s="6">
        <v>3.3</v>
      </c>
      <c r="D27" s="6">
        <v>8.6</v>
      </c>
      <c r="E27" s="6">
        <v>3.4</v>
      </c>
      <c r="F27" s="6">
        <v>3.9</v>
      </c>
      <c r="G27" s="6">
        <v>-4.0999999999999996</v>
      </c>
      <c r="H27" s="6">
        <v>6.4</v>
      </c>
      <c r="I27" s="6">
        <v>-8.5</v>
      </c>
      <c r="J27" s="6">
        <v>6.8</v>
      </c>
      <c r="K27" s="6">
        <v>4.0999999999999996</v>
      </c>
    </row>
    <row r="28" spans="1:11">
      <c r="A28" s="14"/>
      <c r="B28" s="5" t="s">
        <v>25</v>
      </c>
      <c r="C28" s="7">
        <v>12</v>
      </c>
      <c r="D28" s="7">
        <v>13.1</v>
      </c>
      <c r="E28" s="7">
        <v>4.5999999999999996</v>
      </c>
      <c r="F28" s="7">
        <v>4.3</v>
      </c>
      <c r="G28" s="7">
        <v>-3.8</v>
      </c>
      <c r="H28" s="7">
        <v>8.3000000000000007</v>
      </c>
      <c r="I28" s="7">
        <v>-7.9</v>
      </c>
      <c r="J28" s="7">
        <v>6.6</v>
      </c>
      <c r="K28" s="7">
        <v>8.9</v>
      </c>
    </row>
    <row r="29" spans="1:11">
      <c r="A29" s="14"/>
      <c r="B29" s="5" t="s">
        <v>26</v>
      </c>
      <c r="C29" s="6">
        <v>16</v>
      </c>
      <c r="D29" s="6">
        <v>16.100000000000001</v>
      </c>
      <c r="E29" s="6">
        <v>4.3</v>
      </c>
      <c r="F29" s="6">
        <v>5.6</v>
      </c>
      <c r="G29" s="6">
        <v>-3.2</v>
      </c>
      <c r="H29" s="6">
        <v>10.6</v>
      </c>
      <c r="I29" s="6">
        <v>-5.6</v>
      </c>
      <c r="J29" s="6">
        <v>10.6</v>
      </c>
      <c r="K29" s="6">
        <v>11.5</v>
      </c>
    </row>
    <row r="30" spans="1:11">
      <c r="A30" s="15"/>
      <c r="B30" s="5" t="s">
        <v>27</v>
      </c>
      <c r="C30" s="7">
        <v>14.8</v>
      </c>
      <c r="D30" s="7">
        <v>16</v>
      </c>
      <c r="E30" s="7">
        <v>3.9</v>
      </c>
      <c r="F30" s="7">
        <v>5.0999999999999996</v>
      </c>
      <c r="G30" s="7">
        <v>-2.8</v>
      </c>
      <c r="H30" s="7">
        <v>12.2</v>
      </c>
      <c r="I30" s="7">
        <v>-4.7</v>
      </c>
      <c r="J30" s="7">
        <v>9</v>
      </c>
      <c r="K30" s="7">
        <v>11.1</v>
      </c>
    </row>
    <row r="31" spans="1:11">
      <c r="A31" t="s">
        <v>33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31"/>
  <sheetViews>
    <sheetView topLeftCell="A68" workbookViewId="0">
      <selection activeCell="M20" sqref="M20"/>
    </sheetView>
  </sheetViews>
  <sheetFormatPr defaultRowHeight="12.75"/>
  <cols>
    <col min="1" max="2" width="27.42578125" customWidth="1"/>
  </cols>
  <sheetData>
    <row r="1" spans="1:11" hidden="1">
      <c r="A1" s="1" t="e">
        <f ca="1">DotStatQuery(B1)</f>
        <v>#NAME?</v>
      </c>
      <c r="B1" s="1" t="s">
        <v>34</v>
      </c>
    </row>
    <row r="2" spans="1:11">
      <c r="A2" t="s">
        <v>1</v>
      </c>
    </row>
    <row r="3" spans="1:11">
      <c r="A3" s="16" t="s">
        <v>2</v>
      </c>
      <c r="B3" s="17"/>
      <c r="C3" s="18" t="s">
        <v>35</v>
      </c>
      <c r="D3" s="19"/>
      <c r="E3" s="19"/>
      <c r="F3" s="19"/>
      <c r="G3" s="19"/>
      <c r="H3" s="19"/>
      <c r="I3" s="19"/>
      <c r="J3" s="19"/>
      <c r="K3" s="20"/>
    </row>
    <row r="4" spans="1:11">
      <c r="A4" s="16" t="s">
        <v>4</v>
      </c>
      <c r="B4" s="17"/>
      <c r="C4" s="21" t="s">
        <v>5</v>
      </c>
      <c r="D4" s="22"/>
      <c r="E4" s="22"/>
      <c r="F4" s="22"/>
      <c r="G4" s="22"/>
      <c r="H4" s="22"/>
      <c r="I4" s="22"/>
      <c r="J4" s="22"/>
      <c r="K4" s="23"/>
    </row>
    <row r="5" spans="1:11" ht="52.5">
      <c r="A5" s="24" t="s">
        <v>6</v>
      </c>
      <c r="B5" s="25"/>
      <c r="C5" s="2" t="s">
        <v>7</v>
      </c>
      <c r="D5" s="2" t="s">
        <v>8</v>
      </c>
      <c r="E5" s="2" t="s">
        <v>9</v>
      </c>
      <c r="F5" s="2" t="s">
        <v>10</v>
      </c>
      <c r="G5" s="2" t="s">
        <v>11</v>
      </c>
      <c r="H5" s="2" t="s">
        <v>12</v>
      </c>
      <c r="I5" s="2" t="s">
        <v>13</v>
      </c>
      <c r="J5" s="2" t="s">
        <v>14</v>
      </c>
      <c r="K5" s="2" t="s">
        <v>15</v>
      </c>
    </row>
    <row r="6" spans="1:11" ht="13.5">
      <c r="A6" s="3" t="s">
        <v>16</v>
      </c>
      <c r="B6" s="3" t="s">
        <v>17</v>
      </c>
      <c r="C6" s="4" t="s">
        <v>18</v>
      </c>
      <c r="D6" s="4" t="s">
        <v>18</v>
      </c>
      <c r="E6" s="4" t="s">
        <v>18</v>
      </c>
      <c r="F6" s="4" t="s">
        <v>18</v>
      </c>
      <c r="G6" s="4" t="s">
        <v>18</v>
      </c>
      <c r="H6" s="4" t="s">
        <v>18</v>
      </c>
      <c r="I6" s="4" t="s">
        <v>18</v>
      </c>
      <c r="J6" s="4" t="s">
        <v>18</v>
      </c>
      <c r="K6" s="4" t="s">
        <v>18</v>
      </c>
    </row>
    <row r="7" spans="1:11">
      <c r="A7" s="13" t="s">
        <v>19</v>
      </c>
      <c r="B7" s="5" t="s">
        <v>20</v>
      </c>
      <c r="C7" s="6">
        <v>145.19999999999999</v>
      </c>
      <c r="D7" s="6">
        <v>114.2</v>
      </c>
      <c r="E7" s="6">
        <v>110.3</v>
      </c>
      <c r="F7" s="6">
        <v>103.7</v>
      </c>
      <c r="G7" s="6">
        <v>107.6</v>
      </c>
      <c r="H7" s="6">
        <v>102.1</v>
      </c>
      <c r="I7" s="6">
        <v>110.4</v>
      </c>
      <c r="J7" s="6">
        <v>99.4</v>
      </c>
      <c r="K7" s="6">
        <v>126.2</v>
      </c>
    </row>
    <row r="8" spans="1:11">
      <c r="A8" s="14"/>
      <c r="B8" s="5" t="s">
        <v>21</v>
      </c>
      <c r="C8" s="7">
        <v>144.1</v>
      </c>
      <c r="D8" s="7">
        <v>115.5</v>
      </c>
      <c r="E8" s="7">
        <v>110.8</v>
      </c>
      <c r="F8" s="7">
        <v>103.3</v>
      </c>
      <c r="G8" s="7">
        <v>107.8</v>
      </c>
      <c r="H8" s="7">
        <v>104.1</v>
      </c>
      <c r="I8" s="7">
        <v>108.5</v>
      </c>
      <c r="J8" s="7">
        <v>100.7</v>
      </c>
      <c r="K8" s="7">
        <v>126.2</v>
      </c>
    </row>
    <row r="9" spans="1:11">
      <c r="A9" s="14"/>
      <c r="B9" s="5" t="s">
        <v>22</v>
      </c>
      <c r="C9" s="6">
        <v>143.19999999999999</v>
      </c>
      <c r="D9" s="6">
        <v>114</v>
      </c>
      <c r="E9" s="6">
        <v>111.6</v>
      </c>
      <c r="F9" s="6">
        <v>102.9</v>
      </c>
      <c r="G9" s="6">
        <v>106.6</v>
      </c>
      <c r="H9" s="6">
        <v>106.5</v>
      </c>
      <c r="I9" s="6">
        <v>108.6</v>
      </c>
      <c r="J9" s="6">
        <v>99.6</v>
      </c>
      <c r="K9" s="6">
        <v>125.2</v>
      </c>
    </row>
    <row r="10" spans="1:11">
      <c r="A10" s="14"/>
      <c r="B10" s="5" t="s">
        <v>23</v>
      </c>
      <c r="C10" s="7">
        <v>146.1</v>
      </c>
      <c r="D10" s="7">
        <v>115.5</v>
      </c>
      <c r="E10" s="7">
        <v>112.7</v>
      </c>
      <c r="F10" s="7">
        <v>103.1</v>
      </c>
      <c r="G10" s="7">
        <v>104.8</v>
      </c>
      <c r="H10" s="7">
        <v>107.9</v>
      </c>
      <c r="I10" s="7">
        <v>104.9</v>
      </c>
      <c r="J10" s="7">
        <v>99.6</v>
      </c>
      <c r="K10" s="7">
        <v>126.9</v>
      </c>
    </row>
    <row r="11" spans="1:11">
      <c r="A11" s="14"/>
      <c r="B11" s="5" t="s">
        <v>24</v>
      </c>
      <c r="C11" s="6">
        <v>149.19999999999999</v>
      </c>
      <c r="D11" s="6">
        <v>115.9</v>
      </c>
      <c r="E11" s="6">
        <v>112</v>
      </c>
      <c r="F11" s="6">
        <v>103.8</v>
      </c>
      <c r="G11" s="6">
        <v>104</v>
      </c>
      <c r="H11" s="6">
        <v>110.2</v>
      </c>
      <c r="I11" s="6">
        <v>105.7</v>
      </c>
      <c r="J11" s="6">
        <v>100.4</v>
      </c>
      <c r="K11" s="6">
        <v>128.4</v>
      </c>
    </row>
    <row r="12" spans="1:11">
      <c r="A12" s="14"/>
      <c r="B12" s="5" t="s">
        <v>25</v>
      </c>
      <c r="C12" s="7">
        <v>153.80000000000001</v>
      </c>
      <c r="D12" s="7">
        <v>119.2</v>
      </c>
      <c r="E12" s="7">
        <v>110.5</v>
      </c>
      <c r="F12" s="7">
        <v>106.3</v>
      </c>
      <c r="G12" s="7">
        <v>102.2</v>
      </c>
      <c r="H12" s="7">
        <v>116.2</v>
      </c>
      <c r="I12" s="7">
        <v>103.1</v>
      </c>
      <c r="J12" s="7">
        <v>102.7</v>
      </c>
      <c r="K12" s="7">
        <v>131.30000000000001</v>
      </c>
    </row>
    <row r="13" spans="1:11">
      <c r="A13" s="14"/>
      <c r="B13" s="5" t="s">
        <v>26</v>
      </c>
      <c r="C13" s="6">
        <v>159.1</v>
      </c>
      <c r="D13" s="6">
        <v>118.4</v>
      </c>
      <c r="E13" s="6">
        <v>111.2</v>
      </c>
      <c r="F13" s="6">
        <v>106.2</v>
      </c>
      <c r="G13" s="6">
        <v>101.3</v>
      </c>
      <c r="H13" s="6">
        <v>122.1</v>
      </c>
      <c r="I13" s="6">
        <v>100.9</v>
      </c>
      <c r="J13" s="6">
        <v>102.5</v>
      </c>
      <c r="K13" s="6">
        <v>133.5</v>
      </c>
    </row>
    <row r="14" spans="1:11">
      <c r="A14" s="15"/>
      <c r="B14" s="5" t="s">
        <v>27</v>
      </c>
      <c r="C14" s="7">
        <v>163.19999999999999</v>
      </c>
      <c r="D14" s="7">
        <v>121.6</v>
      </c>
      <c r="E14" s="7">
        <v>111.2</v>
      </c>
      <c r="F14" s="7">
        <v>108.2</v>
      </c>
      <c r="G14" s="7">
        <v>99.8</v>
      </c>
      <c r="H14" s="7">
        <v>122.8</v>
      </c>
      <c r="I14" s="7">
        <v>99.1</v>
      </c>
      <c r="J14" s="7">
        <v>103.3</v>
      </c>
      <c r="K14" s="7">
        <v>136.1</v>
      </c>
    </row>
    <row r="15" spans="1:11">
      <c r="A15" s="13" t="s">
        <v>28</v>
      </c>
      <c r="B15" s="5" t="s">
        <v>20</v>
      </c>
      <c r="C15" s="6">
        <v>2.5</v>
      </c>
      <c r="D15" s="6">
        <v>1.6</v>
      </c>
      <c r="E15" s="6">
        <v>0.2</v>
      </c>
      <c r="F15" s="6">
        <v>1.3</v>
      </c>
      <c r="G15" s="6">
        <v>-2.1</v>
      </c>
      <c r="H15" s="6">
        <v>1.2</v>
      </c>
      <c r="I15" s="6">
        <v>-0.7</v>
      </c>
      <c r="J15" s="6">
        <v>-0.6</v>
      </c>
      <c r="K15" s="6">
        <v>1.6</v>
      </c>
    </row>
    <row r="16" spans="1:11">
      <c r="A16" s="14"/>
      <c r="B16" s="5" t="s">
        <v>21</v>
      </c>
      <c r="C16" s="7">
        <v>-0.8</v>
      </c>
      <c r="D16" s="7">
        <v>1.1000000000000001</v>
      </c>
      <c r="E16" s="7">
        <v>0.5</v>
      </c>
      <c r="F16" s="7">
        <v>-0.4</v>
      </c>
      <c r="G16" s="7">
        <v>0.2</v>
      </c>
      <c r="H16" s="7">
        <v>2</v>
      </c>
      <c r="I16" s="7">
        <v>-1.7</v>
      </c>
      <c r="J16" s="7">
        <v>1.3</v>
      </c>
      <c r="K16" s="7">
        <v>0</v>
      </c>
    </row>
    <row r="17" spans="1:11">
      <c r="A17" s="14"/>
      <c r="B17" s="5" t="s">
        <v>22</v>
      </c>
      <c r="C17" s="6">
        <v>-0.6</v>
      </c>
      <c r="D17" s="6">
        <v>-1.3</v>
      </c>
      <c r="E17" s="6">
        <v>0.7</v>
      </c>
      <c r="F17" s="6">
        <v>-0.4</v>
      </c>
      <c r="G17" s="6">
        <v>-1.1000000000000001</v>
      </c>
      <c r="H17" s="6">
        <v>2.2999999999999998</v>
      </c>
      <c r="I17" s="6">
        <v>0.1</v>
      </c>
      <c r="J17" s="6">
        <v>-1.1000000000000001</v>
      </c>
      <c r="K17" s="6">
        <v>-0.8</v>
      </c>
    </row>
    <row r="18" spans="1:11">
      <c r="A18" s="14"/>
      <c r="B18" s="5" t="s">
        <v>23</v>
      </c>
      <c r="C18" s="7">
        <v>2</v>
      </c>
      <c r="D18" s="7">
        <v>1.3</v>
      </c>
      <c r="E18" s="7">
        <v>1</v>
      </c>
      <c r="F18" s="7">
        <v>0.2</v>
      </c>
      <c r="G18" s="7">
        <v>-1.7</v>
      </c>
      <c r="H18" s="7">
        <v>1.3</v>
      </c>
      <c r="I18" s="7">
        <v>-3.4</v>
      </c>
      <c r="J18" s="7">
        <v>0</v>
      </c>
      <c r="K18" s="7">
        <v>1.4</v>
      </c>
    </row>
    <row r="19" spans="1:11">
      <c r="A19" s="14"/>
      <c r="B19" s="5" t="s">
        <v>24</v>
      </c>
      <c r="C19" s="6">
        <v>2.1</v>
      </c>
      <c r="D19" s="6">
        <v>0.3</v>
      </c>
      <c r="E19" s="6">
        <v>-0.6</v>
      </c>
      <c r="F19" s="6">
        <v>0.7</v>
      </c>
      <c r="G19" s="6">
        <v>-0.8</v>
      </c>
      <c r="H19" s="6">
        <v>2.1</v>
      </c>
      <c r="I19" s="6">
        <v>0.8</v>
      </c>
      <c r="J19" s="6">
        <v>0.8</v>
      </c>
      <c r="K19" s="6">
        <v>1.2</v>
      </c>
    </row>
    <row r="20" spans="1:11">
      <c r="A20" s="14"/>
      <c r="B20" s="5" t="s">
        <v>25</v>
      </c>
      <c r="C20" s="7">
        <v>3.1</v>
      </c>
      <c r="D20" s="7">
        <v>2.8</v>
      </c>
      <c r="E20" s="7">
        <v>-1.3</v>
      </c>
      <c r="F20" s="7">
        <v>2.4</v>
      </c>
      <c r="G20" s="7">
        <v>-1.7</v>
      </c>
      <c r="H20" s="7">
        <v>5.4</v>
      </c>
      <c r="I20" s="7">
        <v>-2.5</v>
      </c>
      <c r="J20" s="7">
        <v>2.2999999999999998</v>
      </c>
      <c r="K20" s="7">
        <v>2.2999999999999998</v>
      </c>
    </row>
    <row r="21" spans="1:11">
      <c r="A21" s="14"/>
      <c r="B21" s="5" t="s">
        <v>26</v>
      </c>
      <c r="C21" s="6">
        <v>3.4</v>
      </c>
      <c r="D21" s="6">
        <v>-0.7</v>
      </c>
      <c r="E21" s="6">
        <v>0.6</v>
      </c>
      <c r="F21" s="6">
        <v>-0.1</v>
      </c>
      <c r="G21" s="6">
        <v>-0.9</v>
      </c>
      <c r="H21" s="6">
        <v>5.0999999999999996</v>
      </c>
      <c r="I21" s="6">
        <v>-2.1</v>
      </c>
      <c r="J21" s="6">
        <v>-0.2</v>
      </c>
      <c r="K21" s="6">
        <v>1.7</v>
      </c>
    </row>
    <row r="22" spans="1:11">
      <c r="A22" s="15"/>
      <c r="B22" s="5" t="s">
        <v>27</v>
      </c>
      <c r="C22" s="7">
        <v>2.6</v>
      </c>
      <c r="D22" s="7">
        <v>2.7</v>
      </c>
      <c r="E22" s="7">
        <v>0</v>
      </c>
      <c r="F22" s="7">
        <v>1.9</v>
      </c>
      <c r="G22" s="7">
        <v>-1.5</v>
      </c>
      <c r="H22" s="7">
        <v>0.6</v>
      </c>
      <c r="I22" s="7">
        <v>-1.8</v>
      </c>
      <c r="J22" s="7">
        <v>0.8</v>
      </c>
      <c r="K22" s="7">
        <v>1.9</v>
      </c>
    </row>
    <row r="23" spans="1:11">
      <c r="A23" s="13" t="s">
        <v>29</v>
      </c>
      <c r="B23" s="5" t="s">
        <v>20</v>
      </c>
      <c r="C23" s="6">
        <v>15.8</v>
      </c>
      <c r="D23" s="6">
        <v>4.5</v>
      </c>
      <c r="E23" s="6">
        <v>0.8</v>
      </c>
      <c r="F23" s="6">
        <v>2.2999999999999998</v>
      </c>
      <c r="G23" s="6">
        <v>-3.2</v>
      </c>
      <c r="H23" s="6">
        <v>0.9</v>
      </c>
      <c r="I23" s="6">
        <v>-2.8</v>
      </c>
      <c r="J23" s="6">
        <v>-0.9</v>
      </c>
      <c r="K23" s="6">
        <v>8.6999999999999993</v>
      </c>
    </row>
    <row r="24" spans="1:11">
      <c r="A24" s="14"/>
      <c r="B24" s="5" t="s">
        <v>21</v>
      </c>
      <c r="C24" s="7">
        <v>11.2</v>
      </c>
      <c r="D24" s="7">
        <v>4.4000000000000004</v>
      </c>
      <c r="E24" s="7">
        <v>2.1</v>
      </c>
      <c r="F24" s="7">
        <v>0.9</v>
      </c>
      <c r="G24" s="7">
        <v>-2.8</v>
      </c>
      <c r="H24" s="7">
        <v>3.2</v>
      </c>
      <c r="I24" s="7">
        <v>-4.2</v>
      </c>
      <c r="J24" s="7">
        <v>0.4</v>
      </c>
      <c r="K24" s="7">
        <v>6.7</v>
      </c>
    </row>
    <row r="25" spans="1:11">
      <c r="A25" s="14"/>
      <c r="B25" s="5" t="s">
        <v>22</v>
      </c>
      <c r="C25" s="6">
        <v>8.1999999999999993</v>
      </c>
      <c r="D25" s="6">
        <v>3.9</v>
      </c>
      <c r="E25" s="6">
        <v>2.1</v>
      </c>
      <c r="F25" s="6">
        <v>0.6</v>
      </c>
      <c r="G25" s="6">
        <v>-3.6</v>
      </c>
      <c r="H25" s="6">
        <v>5</v>
      </c>
      <c r="I25" s="6">
        <v>-3.6</v>
      </c>
      <c r="J25" s="6">
        <v>-0.4</v>
      </c>
      <c r="K25" s="6">
        <v>4.9000000000000004</v>
      </c>
    </row>
    <row r="26" spans="1:11">
      <c r="A26" s="14"/>
      <c r="B26" s="5" t="s">
        <v>23</v>
      </c>
      <c r="C26" s="7">
        <v>3.2</v>
      </c>
      <c r="D26" s="7">
        <v>2.8</v>
      </c>
      <c r="E26" s="7">
        <v>2.4</v>
      </c>
      <c r="F26" s="7">
        <v>0.7</v>
      </c>
      <c r="G26" s="7">
        <v>-4.5999999999999996</v>
      </c>
      <c r="H26" s="7">
        <v>6.9</v>
      </c>
      <c r="I26" s="7">
        <v>-5.7</v>
      </c>
      <c r="J26" s="7">
        <v>-0.4</v>
      </c>
      <c r="K26" s="7">
        <v>2.2000000000000002</v>
      </c>
    </row>
    <row r="27" spans="1:11">
      <c r="A27" s="14"/>
      <c r="B27" s="5" t="s">
        <v>24</v>
      </c>
      <c r="C27" s="6">
        <v>2.8</v>
      </c>
      <c r="D27" s="6">
        <v>1.5</v>
      </c>
      <c r="E27" s="6">
        <v>1.5</v>
      </c>
      <c r="F27" s="6">
        <v>0.1</v>
      </c>
      <c r="G27" s="6">
        <v>-3.3</v>
      </c>
      <c r="H27" s="6">
        <v>7.9</v>
      </c>
      <c r="I27" s="6">
        <v>-4.3</v>
      </c>
      <c r="J27" s="6">
        <v>1</v>
      </c>
      <c r="K27" s="6">
        <v>1.7</v>
      </c>
    </row>
    <row r="28" spans="1:11">
      <c r="A28" s="14"/>
      <c r="B28" s="5" t="s">
        <v>25</v>
      </c>
      <c r="C28" s="7">
        <v>6.7</v>
      </c>
      <c r="D28" s="7">
        <v>3.2</v>
      </c>
      <c r="E28" s="7">
        <v>-0.3</v>
      </c>
      <c r="F28" s="7">
        <v>2.9</v>
      </c>
      <c r="G28" s="7">
        <v>-5.2</v>
      </c>
      <c r="H28" s="7">
        <v>11.6</v>
      </c>
      <c r="I28" s="7">
        <v>-5</v>
      </c>
      <c r="J28" s="7">
        <v>2</v>
      </c>
      <c r="K28" s="7">
        <v>4</v>
      </c>
    </row>
    <row r="29" spans="1:11">
      <c r="A29" s="14"/>
      <c r="B29" s="5" t="s">
        <v>26</v>
      </c>
      <c r="C29" s="6">
        <v>11.1</v>
      </c>
      <c r="D29" s="6">
        <v>3.9</v>
      </c>
      <c r="E29" s="6">
        <v>-0.4</v>
      </c>
      <c r="F29" s="6">
        <v>3.2</v>
      </c>
      <c r="G29" s="6">
        <v>-5</v>
      </c>
      <c r="H29" s="6">
        <v>14.6</v>
      </c>
      <c r="I29" s="6">
        <v>-7.1</v>
      </c>
      <c r="J29" s="6">
        <v>2.9</v>
      </c>
      <c r="K29" s="6">
        <v>6.6</v>
      </c>
    </row>
    <row r="30" spans="1:11">
      <c r="A30" s="15"/>
      <c r="B30" s="5" t="s">
        <v>27</v>
      </c>
      <c r="C30" s="7">
        <v>11.7</v>
      </c>
      <c r="D30" s="7">
        <v>5.3</v>
      </c>
      <c r="E30" s="7">
        <v>-1.3</v>
      </c>
      <c r="F30" s="7">
        <v>4.9000000000000004</v>
      </c>
      <c r="G30" s="7">
        <v>-4.8</v>
      </c>
      <c r="H30" s="7">
        <v>13.8</v>
      </c>
      <c r="I30" s="7">
        <v>-5.5</v>
      </c>
      <c r="J30" s="7">
        <v>3.7</v>
      </c>
      <c r="K30" s="7">
        <v>7.2</v>
      </c>
    </row>
    <row r="31" spans="1:11">
      <c r="A31" t="s">
        <v>36</v>
      </c>
    </row>
  </sheetData>
  <mergeCells count="8">
    <mergeCell ref="A15:A22"/>
    <mergeCell ref="A23:A30"/>
    <mergeCell ref="A3:B3"/>
    <mergeCell ref="C3:K3"/>
    <mergeCell ref="A4:B4"/>
    <mergeCell ref="C4:K4"/>
    <mergeCell ref="A5:B5"/>
    <mergeCell ref="A7:A14"/>
  </mergeCells>
  <hyperlinks>
    <hyperlink ref="C3" r:id="rId1" tooltip="Click once to display linked information. Click and hold to select this cell." display="http://stat.data.abs.gov.au/OECDStat_Metadata/ShowMetadata.ashx?Dataset=RES_PROP_INDEX&amp;Coords=[PROP_TYPE].[1]&amp;ShowOnWeb=true&amp;Lang=en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K92"/>
  <sheetViews>
    <sheetView tabSelected="1" topLeftCell="A22" zoomScale="85" zoomScaleNormal="85" workbookViewId="0">
      <selection activeCell="B43" sqref="B43"/>
    </sheetView>
  </sheetViews>
  <sheetFormatPr defaultRowHeight="12.75"/>
  <cols>
    <col min="1" max="1" width="28.42578125" style="9" customWidth="1"/>
    <col min="2" max="2" width="20" style="9" customWidth="1"/>
    <col min="3" max="3" width="22.5703125" style="9" bestFit="1" customWidth="1"/>
    <col min="4" max="4" width="18.42578125" style="9" bestFit="1" customWidth="1"/>
    <col min="5" max="5" width="11.7109375" style="9" bestFit="1" customWidth="1"/>
    <col min="6" max="7" width="9.140625" style="9"/>
    <col min="8" max="9" width="8.28515625" style="9" bestFit="1" customWidth="1"/>
    <col min="10" max="11" width="8.85546875" style="9" bestFit="1" customWidth="1"/>
    <col min="12" max="16384" width="9.140625" style="9"/>
  </cols>
  <sheetData>
    <row r="2" spans="1:11" ht="25.5">
      <c r="A2" s="9" t="s">
        <v>49</v>
      </c>
      <c r="B2" s="9" t="s">
        <v>37</v>
      </c>
    </row>
    <row r="3" spans="1:11">
      <c r="A3" s="9" t="s">
        <v>50</v>
      </c>
      <c r="B3" s="9">
        <v>21947126</v>
      </c>
    </row>
    <row r="5" spans="1:11" ht="63">
      <c r="A5" s="24" t="s">
        <v>6</v>
      </c>
      <c r="B5" s="25"/>
      <c r="C5" s="8" t="s">
        <v>38</v>
      </c>
      <c r="D5" s="8" t="s">
        <v>40</v>
      </c>
      <c r="E5" s="8" t="s">
        <v>39</v>
      </c>
      <c r="F5" s="8" t="s">
        <v>41</v>
      </c>
      <c r="G5" s="8" t="s">
        <v>42</v>
      </c>
      <c r="H5" s="8" t="s">
        <v>43</v>
      </c>
      <c r="I5" s="8" t="s">
        <v>44</v>
      </c>
      <c r="J5" s="8" t="s">
        <v>45</v>
      </c>
      <c r="K5" s="8" t="s">
        <v>46</v>
      </c>
    </row>
    <row r="6" spans="1:11">
      <c r="A6" s="3" t="s">
        <v>16</v>
      </c>
      <c r="B6" s="3" t="s">
        <v>17</v>
      </c>
    </row>
    <row r="7" spans="1:11">
      <c r="A7" s="13" t="s">
        <v>19</v>
      </c>
      <c r="B7" s="5" t="s">
        <v>20</v>
      </c>
      <c r="C7" s="10">
        <f t="array" ref="C7">ROUND(SUM(Residential_Property!$C7:$J7)/8,2)</f>
        <v>117.54</v>
      </c>
      <c r="D7" s="10">
        <f t="array" ref="D7">ROUND(SUM(Established_Houses!$C7:$J7)/8,2)</f>
        <v>119.49</v>
      </c>
      <c r="E7" s="10">
        <f t="array" ref="E7">ROUND(SUM(Attached_Dwellings!$C7:$J7)/8,2)</f>
        <v>111.61</v>
      </c>
      <c r="F7" s="9">
        <f t="array" ref="F7">MAX(Residential_Property!$C7:$J7)</f>
        <v>154.4</v>
      </c>
      <c r="G7" s="9">
        <f t="array" ref="G7">MIN(Residential_Property!$C7:$J7)</f>
        <v>106.2</v>
      </c>
      <c r="H7" s="9">
        <f t="array" ref="H7">MAX(Established_Houses!$C7:$J7)</f>
        <v>159.1</v>
      </c>
      <c r="I7" s="9">
        <f t="array" ref="I7">MIN(Established_Houses!$C7:$J7)</f>
        <v>107</v>
      </c>
      <c r="J7" s="9">
        <f t="array" ref="J7">MAX(Attached_Dwellings!$C7:$J7)</f>
        <v>145.19999999999999</v>
      </c>
      <c r="K7" s="9">
        <f t="array" ref="K7">MIN(Attached_Dwellings!$C7:$J7)</f>
        <v>99.4</v>
      </c>
    </row>
    <row r="8" spans="1:11">
      <c r="A8" s="14"/>
      <c r="B8" s="5" t="s">
        <v>21</v>
      </c>
      <c r="C8" s="10">
        <f t="array" ref="C8">ROUND(SUM(Residential_Property!$C8:$J8)/8,2)</f>
        <v>118.35</v>
      </c>
      <c r="D8" s="10">
        <f t="array" ref="D8">ROUND(SUM(Established_Houses!$C8:$J8)/8,2)</f>
        <v>120.36</v>
      </c>
      <c r="E8" s="10">
        <f t="array" ref="E8">ROUND(SUM(Attached_Dwellings!$C8:$J8)/8,2)</f>
        <v>111.85</v>
      </c>
      <c r="F8" s="9">
        <f t="array" ref="F8">MAX(Residential_Property!$C8:$J8)</f>
        <v>151.9</v>
      </c>
      <c r="G8" s="9">
        <f t="array" ref="G8">MIN(Residential_Property!$C8:$J8)</f>
        <v>108.9</v>
      </c>
      <c r="H8" s="9">
        <f t="array" ref="H8">MAX(Established_Houses!$C8:$J8)</f>
        <v>155.69999999999999</v>
      </c>
      <c r="I8" s="9">
        <f t="array" ref="I8">MIN(Established_Houses!$C8:$J8)</f>
        <v>109.8</v>
      </c>
      <c r="J8" s="9">
        <f t="array" ref="J8">MAX(Attached_Dwellings!$C8:$J8)</f>
        <v>144.1</v>
      </c>
      <c r="K8" s="9">
        <f t="array" ref="K8">MIN(Attached_Dwellings!$C8:$J8)</f>
        <v>100.7</v>
      </c>
    </row>
    <row r="9" spans="1:11">
      <c r="A9" s="14"/>
      <c r="B9" s="5" t="s">
        <v>22</v>
      </c>
      <c r="C9" s="10">
        <f t="array" ref="C9">ROUND(SUM(Residential_Property!$C9:$J9)/8,2)</f>
        <v>118.05</v>
      </c>
      <c r="D9" s="10">
        <f t="array" ref="D9">ROUND(SUM(Established_Houses!$C9:$J9)/8,2)</f>
        <v>120.06</v>
      </c>
      <c r="E9" s="10">
        <f t="array" ref="E9">ROUND(SUM(Attached_Dwellings!$C9:$J9)/8,2)</f>
        <v>111.63</v>
      </c>
      <c r="F9" s="9">
        <f t="array" ref="F9">MAX(Residential_Property!$C9:$J9)</f>
        <v>150.9</v>
      </c>
      <c r="G9" s="9">
        <f t="array" ref="G9">MIN(Residential_Property!$C9:$J9)</f>
        <v>107.9</v>
      </c>
      <c r="H9" s="9">
        <f t="array" ref="H9">MAX(Established_Houses!$C9:$J9)</f>
        <v>154.80000000000001</v>
      </c>
      <c r="I9" s="9">
        <f t="array" ref="I9">MIN(Established_Houses!$C9:$J9)</f>
        <v>107.7</v>
      </c>
      <c r="J9" s="9">
        <f t="array" ref="J9">MAX(Attached_Dwellings!$C9:$J9)</f>
        <v>143.19999999999999</v>
      </c>
      <c r="K9" s="9">
        <f t="array" ref="K9">MIN(Attached_Dwellings!$C9:$J9)</f>
        <v>99.6</v>
      </c>
    </row>
    <row r="10" spans="1:11">
      <c r="A10" s="14"/>
      <c r="B10" s="5" t="s">
        <v>23</v>
      </c>
      <c r="C10" s="10">
        <f t="array" ref="C10">ROUND(SUM(Residential_Property!$C10:$J10)/8,2)</f>
        <v>119.2</v>
      </c>
      <c r="D10" s="10">
        <f t="array" ref="D10">ROUND(SUM(Established_Houses!$C10:$J10)/8,2)</f>
        <v>121.59</v>
      </c>
      <c r="E10" s="10">
        <f t="array" ref="E10">ROUND(SUM(Attached_Dwellings!$C10:$J10)/8,2)</f>
        <v>111.83</v>
      </c>
      <c r="F10" s="9">
        <f t="array" ref="F10">MAX(Residential_Property!$C10:$J10)</f>
        <v>155.19999999999999</v>
      </c>
      <c r="G10" s="9">
        <f t="array" ref="G10">MIN(Residential_Property!$C10:$J10)</f>
        <v>105.3</v>
      </c>
      <c r="H10" s="9">
        <f t="array" ref="H10">MAX(Established_Houses!$C10:$J10)</f>
        <v>159.69999999999999</v>
      </c>
      <c r="I10" s="9">
        <f t="array" ref="I10">MIN(Established_Houses!$C10:$J10)</f>
        <v>105.6</v>
      </c>
      <c r="J10" s="9">
        <f t="array" ref="J10">MAX(Attached_Dwellings!$C10:$J10)</f>
        <v>146.1</v>
      </c>
      <c r="K10" s="9">
        <f t="array" ref="K10">MIN(Attached_Dwellings!$C10:$J10)</f>
        <v>99.6</v>
      </c>
    </row>
    <row r="11" spans="1:11">
      <c r="A11" s="14"/>
      <c r="B11" s="5" t="s">
        <v>24</v>
      </c>
      <c r="C11" s="10">
        <f t="array" ref="C11">ROUND(SUM(Residential_Property!$C11:$J11)/8,2)</f>
        <v>120.19</v>
      </c>
      <c r="D11" s="10">
        <f t="array" ref="D11">ROUND(SUM(Established_Houses!$C11:$J11)/8,2)</f>
        <v>122.59</v>
      </c>
      <c r="E11" s="10">
        <f t="array" ref="E11">ROUND(SUM(Attached_Dwellings!$C11:$J11)/8,2)</f>
        <v>112.65</v>
      </c>
      <c r="F11" s="9">
        <f t="array" ref="F11">MAX(Residential_Property!$C11:$J11)</f>
        <v>159.30000000000001</v>
      </c>
      <c r="G11" s="9">
        <f t="array" ref="G11">MIN(Residential_Property!$C11:$J11)</f>
        <v>104</v>
      </c>
      <c r="H11" s="9">
        <f t="array" ref="H11">MAX(Established_Houses!$C11:$J11)</f>
        <v>164.4</v>
      </c>
      <c r="I11" s="9">
        <f t="array" ref="I11">MIN(Established_Houses!$C11:$J11)</f>
        <v>103.3</v>
      </c>
      <c r="J11" s="9">
        <f t="array" ref="J11">MAX(Attached_Dwellings!$C11:$J11)</f>
        <v>149.19999999999999</v>
      </c>
      <c r="K11" s="9">
        <f t="array" ref="K11">MIN(Attached_Dwellings!$C11:$J11)</f>
        <v>100.4</v>
      </c>
    </row>
    <row r="12" spans="1:11">
      <c r="A12" s="14"/>
      <c r="B12" s="5" t="s">
        <v>25</v>
      </c>
      <c r="C12" s="10">
        <f t="array" ref="C12">ROUND(SUM(Residential_Property!$C12:$J12)/8,2)</f>
        <v>123.56</v>
      </c>
      <c r="D12" s="10">
        <f t="array" ref="D12">ROUND(SUM(Established_Houses!$C12:$J12)/8,2)</f>
        <v>126.59</v>
      </c>
      <c r="E12" s="10">
        <f t="array" ref="E12">ROUND(SUM(Attached_Dwellings!$C12:$J12)/8,2)</f>
        <v>114.25</v>
      </c>
      <c r="F12" s="9">
        <f t="array" ref="F12">MAX(Residential_Property!$C12:$J12)</f>
        <v>167.6</v>
      </c>
      <c r="G12" s="9">
        <f t="array" ref="G12">MIN(Residential_Property!$C12:$J12)</f>
        <v>102.4</v>
      </c>
      <c r="H12" s="9">
        <f t="array" ref="H12">MAX(Established_Houses!$C12:$J12)</f>
        <v>174.4</v>
      </c>
      <c r="I12" s="9">
        <f t="array" ref="I12">MIN(Established_Houses!$C12:$J12)</f>
        <v>102.1</v>
      </c>
      <c r="J12" s="9">
        <f t="array" ref="J12">MAX(Attached_Dwellings!$C12:$J12)</f>
        <v>153.80000000000001</v>
      </c>
      <c r="K12" s="9">
        <f t="array" ref="K12">MIN(Attached_Dwellings!$C12:$J12)</f>
        <v>102.2</v>
      </c>
    </row>
    <row r="13" spans="1:11">
      <c r="A13" s="14"/>
      <c r="B13" s="5" t="s">
        <v>26</v>
      </c>
      <c r="C13" s="10">
        <f t="array" ref="C13">ROUND(SUM(Residential_Property!$C13:$J13)/8,2)</f>
        <v>125.63</v>
      </c>
      <c r="D13" s="10">
        <f t="array" ref="D13">ROUND(SUM(Established_Houses!$C13:$J13)/8,2)</f>
        <v>129.01</v>
      </c>
      <c r="E13" s="10">
        <f t="array" ref="E13">ROUND(SUM(Attached_Dwellings!$C13:$J13)/8,2)</f>
        <v>115.21</v>
      </c>
      <c r="F13" s="9">
        <f t="array" ref="F13">MAX(Residential_Property!$C13:$J13)</f>
        <v>172.7</v>
      </c>
      <c r="G13" s="9">
        <f t="array" ref="G13">MIN(Residential_Property!$C13:$J13)</f>
        <v>101.5</v>
      </c>
      <c r="H13" s="9">
        <f t="array" ref="H13">MAX(Established_Houses!$C13:$J13)</f>
        <v>179.5</v>
      </c>
      <c r="I13" s="9">
        <f t="array" ref="I13">MIN(Established_Houses!$C13:$J13)</f>
        <v>101.7</v>
      </c>
      <c r="J13" s="9">
        <f t="array" ref="J13">MAX(Attached_Dwellings!$C13:$J13)</f>
        <v>159.1</v>
      </c>
      <c r="K13" s="9">
        <f t="array" ref="K13">MIN(Attached_Dwellings!$C13:$J13)</f>
        <v>100.9</v>
      </c>
    </row>
    <row r="14" spans="1:11">
      <c r="A14" s="15"/>
      <c r="B14" s="5" t="s">
        <v>27</v>
      </c>
      <c r="C14" s="10">
        <f t="array" ref="C14">ROUND(SUM(Residential_Property!$C14:$J14)/8,2)</f>
        <v>127.04</v>
      </c>
      <c r="D14" s="10">
        <f t="array" ref="D14">ROUND(SUM(Established_Houses!$C14:$J14)/8,2)</f>
        <v>130.58000000000001</v>
      </c>
      <c r="E14" s="10">
        <f t="array" ref="E14">ROUND(SUM(Attached_Dwellings!$C14:$J14)/8,2)</f>
        <v>116.15</v>
      </c>
      <c r="F14" s="9">
        <f t="array" ref="F14">MAX(Residential_Property!$C14:$J14)</f>
        <v>176.6</v>
      </c>
      <c r="G14" s="9">
        <f t="array" ref="G14">MIN(Residential_Property!$C14:$J14)</f>
        <v>100.1</v>
      </c>
      <c r="H14" s="9">
        <f t="array" ref="H14">MAX(Established_Houses!$C14:$J14)</f>
        <v>183.3</v>
      </c>
      <c r="I14" s="9">
        <f t="array" ref="I14">MIN(Established_Houses!$C14:$J14)</f>
        <v>100.6</v>
      </c>
      <c r="J14" s="9">
        <f t="array" ref="J14">MAX(Attached_Dwellings!$C14:$J14)</f>
        <v>163.19999999999999</v>
      </c>
      <c r="K14" s="9">
        <f t="array" ref="K14">MIN(Attached_Dwellings!$C14:$J14)</f>
        <v>99.1</v>
      </c>
    </row>
    <row r="15" spans="1:11">
      <c r="A15" s="13" t="s">
        <v>28</v>
      </c>
      <c r="B15" s="5" t="s">
        <v>20</v>
      </c>
      <c r="C15" s="10">
        <f t="array" ref="C15">ROUND(SUM(Residential_Property!$C15:$J15)/8,2)</f>
        <v>0.94</v>
      </c>
      <c r="D15" s="10">
        <f t="array" ref="D15">ROUND(SUM(Established_Houses!$C15:$J15)/8,2)</f>
        <v>1.1000000000000001</v>
      </c>
      <c r="E15" s="10">
        <f t="array" ref="E15">ROUND(SUM(Attached_Dwellings!$C15:$J15)/8,2)</f>
        <v>0.43</v>
      </c>
      <c r="F15" s="9">
        <f t="array" ref="F15">MAX(Residential_Property!$C15:$J15)</f>
        <v>3.1</v>
      </c>
      <c r="G15" s="9">
        <f t="array" ref="G15">MIN(Residential_Property!$C15:$J15)</f>
        <v>-2.4</v>
      </c>
      <c r="H15" s="9">
        <f t="array" ref="H15">MAX(Established_Houses!$C15:$J15)</f>
        <v>3.3</v>
      </c>
      <c r="I15" s="9">
        <f t="array" ref="I15">MIN(Established_Houses!$C15:$J15)</f>
        <v>-2.5</v>
      </c>
      <c r="J15" s="9">
        <f t="array" ref="J15">MAX(Attached_Dwellings!$C15:$J15)</f>
        <v>2.5</v>
      </c>
      <c r="K15" s="9">
        <f t="array" ref="K15">MIN(Attached_Dwellings!$C15:$J15)</f>
        <v>-2.1</v>
      </c>
    </row>
    <row r="16" spans="1:11">
      <c r="A16" s="14"/>
      <c r="B16" s="5" t="s">
        <v>21</v>
      </c>
      <c r="C16" s="10">
        <f t="array" ref="C16">ROUND(SUM(Residential_Property!$C16:$J16)/8,2)</f>
        <v>0.81</v>
      </c>
      <c r="D16" s="10">
        <f t="array" ref="D16">ROUND(SUM(Established_Houses!$C16:$J16)/8,2)</f>
        <v>0.88</v>
      </c>
      <c r="E16" s="10">
        <f t="array" ref="E16">ROUND(SUM(Attached_Dwellings!$C16:$J16)/8,2)</f>
        <v>0.28000000000000003</v>
      </c>
      <c r="F16" s="9">
        <f t="array" ref="F16">MAX(Residential_Property!$C16:$J16)</f>
        <v>2.8</v>
      </c>
      <c r="G16" s="9">
        <f t="array" ref="G16">MIN(Residential_Property!$C16:$J16)</f>
        <v>-1.8</v>
      </c>
      <c r="H16" s="9">
        <f t="array" ref="H16">MAX(Established_Houses!$C16:$J16)</f>
        <v>3.2</v>
      </c>
      <c r="I16" s="9">
        <f t="array" ref="I16">MIN(Established_Houses!$C16:$J16)</f>
        <v>-2.1</v>
      </c>
      <c r="J16" s="9">
        <f t="array" ref="J16">MAX(Attached_Dwellings!$C16:$J16)</f>
        <v>2</v>
      </c>
      <c r="K16" s="9">
        <f t="array" ref="K16">MIN(Attached_Dwellings!$C16:$J16)</f>
        <v>-1.7</v>
      </c>
    </row>
    <row r="17" spans="1:11">
      <c r="A17" s="14"/>
      <c r="B17" s="5" t="s">
        <v>22</v>
      </c>
      <c r="C17" s="10">
        <f t="array" ref="C17">ROUND(SUM(Residential_Property!$C17:$J17)/8,2)</f>
        <v>-0.26</v>
      </c>
      <c r="D17" s="10">
        <f t="array" ref="D17">ROUND(SUM(Established_Houses!$C17:$J17)/8,2)</f>
        <v>-0.28000000000000003</v>
      </c>
      <c r="E17" s="10">
        <f t="array" ref="E17">ROUND(SUM(Attached_Dwellings!$C17:$J17)/8,2)</f>
        <v>-0.18</v>
      </c>
      <c r="F17" s="9">
        <f t="array" ref="F17">MAX(Residential_Property!$C17:$J17)</f>
        <v>1.1000000000000001</v>
      </c>
      <c r="G17" s="9">
        <f t="array" ref="G17">MIN(Residential_Property!$C17:$J17)</f>
        <v>-2</v>
      </c>
      <c r="H17" s="9">
        <f t="array" ref="H17">MAX(Established_Houses!$C17:$J17)</f>
        <v>1.4</v>
      </c>
      <c r="I17" s="9">
        <f t="array" ref="I17">MIN(Established_Houses!$C17:$J17)</f>
        <v>-2.8</v>
      </c>
      <c r="J17" s="9">
        <f t="array" ref="J17">MAX(Attached_Dwellings!$C17:$J17)</f>
        <v>2.2999999999999998</v>
      </c>
      <c r="K17" s="9">
        <f t="array" ref="K17">MIN(Attached_Dwellings!$C17:$J17)</f>
        <v>-1.3</v>
      </c>
    </row>
    <row r="18" spans="1:11">
      <c r="A18" s="14"/>
      <c r="B18" s="5" t="s">
        <v>23</v>
      </c>
      <c r="C18" s="10">
        <f t="array" ref="C18">ROUND(SUM(Residential_Property!$C18:$J18)/8,2)</f>
        <v>0.84</v>
      </c>
      <c r="D18" s="10">
        <f t="array" ref="D18">ROUND(SUM(Established_Houses!$C18:$J18)/8,2)</f>
        <v>1.1299999999999999</v>
      </c>
      <c r="E18" s="10">
        <f t="array" ref="E18">ROUND(SUM(Attached_Dwellings!$C18:$J18)/8,2)</f>
        <v>0.09</v>
      </c>
      <c r="F18" s="9">
        <f t="array" ref="F18">MAX(Residential_Property!$C18:$J18)</f>
        <v>2.8</v>
      </c>
      <c r="G18" s="9">
        <f t="array" ref="G18">MIN(Residential_Property!$C18:$J18)</f>
        <v>-2.4</v>
      </c>
      <c r="H18" s="9">
        <f t="array" ref="H18">MAX(Established_Houses!$C18:$J18)</f>
        <v>3.2</v>
      </c>
      <c r="I18" s="9">
        <f t="array" ref="I18">MIN(Established_Houses!$C18:$J18)</f>
        <v>-1.9</v>
      </c>
      <c r="J18" s="9">
        <f t="array" ref="J18">MAX(Attached_Dwellings!$C18:$J18)</f>
        <v>2</v>
      </c>
      <c r="K18" s="9">
        <f t="array" ref="K18">MIN(Attached_Dwellings!$C18:$J18)</f>
        <v>-3.4</v>
      </c>
    </row>
    <row r="19" spans="1:11">
      <c r="A19" s="14"/>
      <c r="B19" s="5" t="s">
        <v>24</v>
      </c>
      <c r="C19" s="10">
        <f t="array" ref="C19">ROUND(SUM(Residential_Property!$C19:$J19)/8,2)</f>
        <v>0.71</v>
      </c>
      <c r="D19" s="10">
        <f t="array" ref="D19">ROUND(SUM(Established_Houses!$C19:$J19)/8,2)</f>
        <v>0.66</v>
      </c>
      <c r="E19" s="10">
        <f t="array" ref="E19">ROUND(SUM(Attached_Dwellings!$C19:$J19)/8,2)</f>
        <v>0.68</v>
      </c>
      <c r="F19" s="9">
        <f t="array" ref="F19">MAX(Residential_Property!$C19:$J19)</f>
        <v>2.6</v>
      </c>
      <c r="G19" s="9">
        <f t="array" ref="G19">MIN(Residential_Property!$C19:$J19)</f>
        <v>-1.6</v>
      </c>
      <c r="H19" s="9">
        <f t="array" ref="H19">MAX(Established_Houses!$C19:$J19)</f>
        <v>2.9</v>
      </c>
      <c r="I19" s="9">
        <f t="array" ref="I19">MIN(Established_Houses!$C19:$J19)</f>
        <v>-2.2000000000000002</v>
      </c>
      <c r="J19" s="9">
        <f t="array" ref="J19">MAX(Attached_Dwellings!$C19:$J19)</f>
        <v>2.1</v>
      </c>
      <c r="K19" s="9">
        <f t="array" ref="K19">MIN(Attached_Dwellings!$C19:$J19)</f>
        <v>-0.8</v>
      </c>
    </row>
    <row r="20" spans="1:11">
      <c r="A20" s="14"/>
      <c r="B20" s="5" t="s">
        <v>25</v>
      </c>
      <c r="C20" s="10">
        <f t="array" ref="C20">ROUND(SUM(Residential_Property!$C20:$J20)/8,2)</f>
        <v>2.58</v>
      </c>
      <c r="D20" s="10">
        <f t="array" ref="D20">ROUND(SUM(Established_Houses!$C20:$J20)/8,2)</f>
        <v>2.96</v>
      </c>
      <c r="E20" s="10">
        <f t="array" ref="E20">ROUND(SUM(Attached_Dwellings!$C20:$J20)/8,2)</f>
        <v>1.31</v>
      </c>
      <c r="F20" s="9">
        <f t="array" ref="F20">MAX(Residential_Property!$C20:$J20)</f>
        <v>5.3</v>
      </c>
      <c r="G20" s="9">
        <f t="array" ref="G20">MIN(Residential_Property!$C20:$J20)</f>
        <v>-1.5</v>
      </c>
      <c r="H20" s="9">
        <f t="array" ref="H20">MAX(Established_Houses!$C20:$J20)</f>
        <v>6.1</v>
      </c>
      <c r="I20" s="9">
        <f t="array" ref="I20">MIN(Established_Houses!$C20:$J20)</f>
        <v>-1.2</v>
      </c>
      <c r="J20" s="9">
        <f t="array" ref="J20">MAX(Attached_Dwellings!$C20:$J20)</f>
        <v>5.4</v>
      </c>
      <c r="K20" s="9">
        <f t="array" ref="K20">MIN(Attached_Dwellings!$C20:$J20)</f>
        <v>-2.5</v>
      </c>
    </row>
    <row r="21" spans="1:11">
      <c r="A21" s="14"/>
      <c r="B21" s="5" t="s">
        <v>26</v>
      </c>
      <c r="C21" s="10">
        <f t="array" ref="C21">ROUND(SUM(Residential_Property!$C21:$J21)/8,2)</f>
        <v>1.49</v>
      </c>
      <c r="D21" s="10">
        <f t="array" ref="D21">ROUND(SUM(Established_Houses!$C21:$J21)/8,2)</f>
        <v>1.71</v>
      </c>
      <c r="E21" s="10">
        <f t="array" ref="E21">ROUND(SUM(Attached_Dwellings!$C21:$J21)/8,2)</f>
        <v>0.64</v>
      </c>
      <c r="F21" s="9">
        <f t="array" ref="F21">MAX(Residential_Property!$C21:$J21)</f>
        <v>3.4</v>
      </c>
      <c r="G21" s="9">
        <f t="array" ref="G21">MIN(Residential_Property!$C21:$J21)</f>
        <v>-1</v>
      </c>
      <c r="H21" s="9">
        <f t="array" ref="H21">MAX(Established_Houses!$C21:$J21)</f>
        <v>4.0999999999999996</v>
      </c>
      <c r="I21" s="9">
        <f t="array" ref="I21">MIN(Established_Houses!$C21:$J21)</f>
        <v>-1.2</v>
      </c>
      <c r="J21" s="9">
        <f t="array" ref="J21">MAX(Attached_Dwellings!$C21:$J21)</f>
        <v>5.0999999999999996</v>
      </c>
      <c r="K21" s="9">
        <f t="array" ref="K21">MIN(Attached_Dwellings!$C21:$J21)</f>
        <v>-2.1</v>
      </c>
    </row>
    <row r="22" spans="1:11">
      <c r="A22" s="15"/>
      <c r="B22" s="5" t="s">
        <v>27</v>
      </c>
      <c r="C22" s="10">
        <f t="array" ref="C22">ROUND(SUM(Residential_Property!$C22:$J22)/8,2)</f>
        <v>0.95</v>
      </c>
      <c r="D22" s="10">
        <f t="array" ref="D22">ROUND(SUM(Established_Houses!$C22:$J22)/8,2)</f>
        <v>1.01</v>
      </c>
      <c r="E22" s="10">
        <f t="array" ref="E22">ROUND(SUM(Attached_Dwellings!$C22:$J22)/8,2)</f>
        <v>0.66</v>
      </c>
      <c r="F22" s="9">
        <f t="array" ref="F22">MAX(Residential_Property!$C22:$J22)</f>
        <v>3</v>
      </c>
      <c r="G22" s="9">
        <f t="array" ref="G22">MIN(Residential_Property!$C22:$J22)</f>
        <v>-1.4</v>
      </c>
      <c r="H22" s="9">
        <f t="array" ref="H22">MAX(Established_Houses!$C22:$J22)</f>
        <v>3</v>
      </c>
      <c r="I22" s="9">
        <f t="array" ref="I22">MIN(Established_Houses!$C22:$J22)</f>
        <v>-1.1000000000000001</v>
      </c>
      <c r="J22" s="9">
        <f t="array" ref="J22">MAX(Attached_Dwellings!$C22:$J22)</f>
        <v>2.7</v>
      </c>
      <c r="K22" s="9">
        <f t="array" ref="K22">MIN(Attached_Dwellings!$C22:$J22)</f>
        <v>-1.8</v>
      </c>
    </row>
    <row r="23" spans="1:11">
      <c r="A23" s="13" t="s">
        <v>29</v>
      </c>
      <c r="B23" s="5" t="s">
        <v>20</v>
      </c>
      <c r="C23" s="10">
        <f t="array" ref="C23">ROUND(SUM(Residential_Property!$C23:$J23)/8,2)</f>
        <v>4.6900000000000004</v>
      </c>
      <c r="D23" s="10">
        <f t="array" ref="D23">ROUND(SUM(Established_Houses!$C23:$J23)/8,2)</f>
        <v>5.5</v>
      </c>
      <c r="E23" s="10">
        <f t="array" ref="E23">ROUND(SUM(Attached_Dwellings!$C23:$J23)/8,2)</f>
        <v>2.1800000000000002</v>
      </c>
      <c r="F23" s="9">
        <f t="array" ref="F23">MAX(Residential_Property!$C23:$J23)</f>
        <v>19.899999999999999</v>
      </c>
      <c r="G23" s="9">
        <f t="array" ref="G23">MIN(Residential_Property!$C23:$J23)</f>
        <v>-3.3</v>
      </c>
      <c r="H23" s="9">
        <f t="array" ref="H23">MAX(Established_Houses!$C23:$J23)</f>
        <v>21.9</v>
      </c>
      <c r="I23" s="9">
        <f t="array" ref="I23">MIN(Established_Houses!$C23:$J23)</f>
        <v>-3.4</v>
      </c>
      <c r="J23" s="9">
        <f t="array" ref="J23">MAX(Attached_Dwellings!$C23:$J23)</f>
        <v>15.8</v>
      </c>
      <c r="K23" s="9">
        <f t="array" ref="K23">MIN(Attached_Dwellings!$C23:$J23)</f>
        <v>-3.2</v>
      </c>
    </row>
    <row r="24" spans="1:11">
      <c r="A24" s="14"/>
      <c r="B24" s="5" t="s">
        <v>21</v>
      </c>
      <c r="C24" s="10">
        <f t="array" ref="C24">ROUND(SUM(Residential_Property!$C24:$J24)/8,2)</f>
        <v>4.3</v>
      </c>
      <c r="D24" s="10">
        <f t="array" ref="D24">ROUND(SUM(Established_Houses!$C24:$J24)/8,2)</f>
        <v>5.09</v>
      </c>
      <c r="E24" s="10">
        <f t="array" ref="E24">ROUND(SUM(Attached_Dwellings!$C24:$J24)/8,2)</f>
        <v>1.9</v>
      </c>
      <c r="F24" s="9">
        <f t="array" ref="F24">MAX(Residential_Property!$C24:$J24)</f>
        <v>13.9</v>
      </c>
      <c r="G24" s="9">
        <f t="array" ref="G24">MIN(Residential_Property!$C24:$J24)</f>
        <v>-3.2</v>
      </c>
      <c r="H24" s="9">
        <f t="array" ref="H24">MAX(Established_Houses!$C24:$J24)</f>
        <v>15.2</v>
      </c>
      <c r="I24" s="9">
        <f t="array" ref="I24">MIN(Established_Houses!$C24:$J24)</f>
        <v>-2.9</v>
      </c>
      <c r="J24" s="9">
        <f t="array" ref="J24">MAX(Attached_Dwellings!$C24:$J24)</f>
        <v>11.2</v>
      </c>
      <c r="K24" s="9">
        <f t="array" ref="K24">MIN(Attached_Dwellings!$C24:$J24)</f>
        <v>-4.2</v>
      </c>
    </row>
    <row r="25" spans="1:11">
      <c r="A25" s="14"/>
      <c r="B25" s="5" t="s">
        <v>22</v>
      </c>
      <c r="C25" s="10">
        <f t="array" ref="C25">ROUND(SUM(Residential_Property!$C25:$J25)/8,2)</f>
        <v>3.26</v>
      </c>
      <c r="D25" s="10">
        <f t="array" ref="D25">ROUND(SUM(Established_Houses!$C25:$J25)/8,2)</f>
        <v>3.75</v>
      </c>
      <c r="E25" s="10">
        <f t="array" ref="E25">ROUND(SUM(Attached_Dwellings!$C25:$J25)/8,2)</f>
        <v>1.53</v>
      </c>
      <c r="F25" s="9">
        <f t="array" ref="F25">MAX(Residential_Property!$C25:$J25)</f>
        <v>9.8000000000000007</v>
      </c>
      <c r="G25" s="9">
        <f t="array" ref="G25">MIN(Residential_Property!$C25:$J25)</f>
        <v>-4.9000000000000004</v>
      </c>
      <c r="H25" s="9">
        <f t="array" ref="H25">MAX(Established_Houses!$C25:$J25)</f>
        <v>11.5</v>
      </c>
      <c r="I25" s="9">
        <f t="array" ref="I25">MIN(Established_Houses!$C25:$J25)</f>
        <v>-5.4</v>
      </c>
      <c r="J25" s="9">
        <f t="array" ref="J25">MAX(Attached_Dwellings!$C25:$J25)</f>
        <v>8.1999999999999993</v>
      </c>
      <c r="K25" s="9">
        <f t="array" ref="K25">MIN(Attached_Dwellings!$C25:$J25)</f>
        <v>-3.6</v>
      </c>
    </row>
    <row r="26" spans="1:11">
      <c r="A26" s="14"/>
      <c r="B26" s="5" t="s">
        <v>23</v>
      </c>
      <c r="C26" s="10">
        <f t="array" ref="C26">ROUND(SUM(Residential_Property!$C26:$J26)/8,2)</f>
        <v>2.4</v>
      </c>
      <c r="D26" s="10">
        <f t="array" ref="D26">ROUND(SUM(Established_Houses!$C26:$J26)/8,2)</f>
        <v>2.95</v>
      </c>
      <c r="E26" s="10">
        <f t="array" ref="E26">ROUND(SUM(Attached_Dwellings!$C26:$J26)/8,2)</f>
        <v>0.66</v>
      </c>
      <c r="F26" s="9">
        <f t="array" ref="F26">MAX(Residential_Property!$C26:$J26)</f>
        <v>8.1999999999999993</v>
      </c>
      <c r="G26" s="9">
        <f t="array" ref="G26">MIN(Residential_Property!$C26:$J26)</f>
        <v>-6.5</v>
      </c>
      <c r="H26" s="9">
        <f t="array" ref="H26">MAX(Established_Houses!$C26:$J26)</f>
        <v>9.9</v>
      </c>
      <c r="I26" s="9">
        <f t="array" ref="I26">MIN(Established_Houses!$C26:$J26)</f>
        <v>-6.8</v>
      </c>
      <c r="J26" s="9">
        <f t="array" ref="J26">MAX(Attached_Dwellings!$C26:$J26)</f>
        <v>6.9</v>
      </c>
      <c r="K26" s="9">
        <f t="array" ref="K26">MIN(Attached_Dwellings!$C26:$J26)</f>
        <v>-5.7</v>
      </c>
    </row>
    <row r="27" spans="1:11">
      <c r="A27" s="14"/>
      <c r="B27" s="5" t="s">
        <v>24</v>
      </c>
      <c r="C27" s="10">
        <f t="array" ref="C27">ROUND(SUM(Residential_Property!$C27:$J27)/8,2)</f>
        <v>2.19</v>
      </c>
      <c r="D27" s="10">
        <f t="array" ref="D27">ROUND(SUM(Established_Houses!$C27:$J27)/8,2)</f>
        <v>2.48</v>
      </c>
      <c r="E27" s="10">
        <f t="array" ref="E27">ROUND(SUM(Attached_Dwellings!$C27:$J27)/8,2)</f>
        <v>0.9</v>
      </c>
      <c r="F27" s="9">
        <f t="array" ref="F27">MAX(Residential_Property!$C27:$J27)</f>
        <v>6.9</v>
      </c>
      <c r="G27" s="9">
        <f t="array" ref="G27">MIN(Residential_Property!$C27:$J27)</f>
        <v>-7.2</v>
      </c>
      <c r="H27" s="9">
        <f t="array" ref="H27">MAX(Established_Houses!$C27:$J27)</f>
        <v>8.6</v>
      </c>
      <c r="I27" s="9">
        <f t="array" ref="I27">MIN(Established_Houses!$C27:$J27)</f>
        <v>-8.5</v>
      </c>
      <c r="J27" s="9">
        <f t="array" ref="J27">MAX(Attached_Dwellings!$C27:$J27)</f>
        <v>7.9</v>
      </c>
      <c r="K27" s="9">
        <f t="array" ref="K27">MIN(Attached_Dwellings!$C27:$J27)</f>
        <v>-4.3</v>
      </c>
    </row>
    <row r="28" spans="1:11">
      <c r="A28" s="14"/>
      <c r="B28" s="5" t="s">
        <v>25</v>
      </c>
      <c r="C28" s="10">
        <f t="array" ref="C28">ROUND(SUM(Residential_Property!$C28:$J28)/8,2)</f>
        <v>4.03</v>
      </c>
      <c r="D28" s="10">
        <f t="array" ref="D28">ROUND(SUM(Established_Houses!$C28:$J28)/8,2)</f>
        <v>4.6500000000000004</v>
      </c>
      <c r="E28" s="10">
        <f t="array" ref="E28">ROUND(SUM(Attached_Dwellings!$C28:$J28)/8,2)</f>
        <v>1.99</v>
      </c>
      <c r="F28" s="9">
        <f t="array" ref="F28">MAX(Residential_Property!$C28:$J28)</f>
        <v>10.8</v>
      </c>
      <c r="G28" s="9">
        <f t="array" ref="G28">MIN(Residential_Property!$C28:$J28)</f>
        <v>-7</v>
      </c>
      <c r="H28" s="9">
        <f t="array" ref="H28">MAX(Established_Houses!$C28:$J28)</f>
        <v>13.1</v>
      </c>
      <c r="I28" s="9">
        <f t="array" ref="I28">MIN(Established_Houses!$C28:$J28)</f>
        <v>-7.9</v>
      </c>
      <c r="J28" s="9">
        <f t="array" ref="J28">MAX(Attached_Dwellings!$C28:$J28)</f>
        <v>11.6</v>
      </c>
      <c r="K28" s="9">
        <f t="array" ref="K28">MIN(Attached_Dwellings!$C28:$J28)</f>
        <v>-5.2</v>
      </c>
    </row>
    <row r="29" spans="1:11">
      <c r="A29" s="14"/>
      <c r="B29" s="5" t="s">
        <v>26</v>
      </c>
      <c r="C29" s="10">
        <f t="array" ref="C29">ROUND(SUM(Residential_Property!$C29:$J29)/8,2)</f>
        <v>5.89</v>
      </c>
      <c r="D29" s="10">
        <f t="array" ref="D29">ROUND(SUM(Established_Houses!$C29:$J29)/8,2)</f>
        <v>6.8</v>
      </c>
      <c r="E29" s="10">
        <f t="array" ref="E29">ROUND(SUM(Attached_Dwellings!$C29:$J29)/8,2)</f>
        <v>2.9</v>
      </c>
      <c r="F29" s="9">
        <f t="array" ref="F29">MAX(Residential_Property!$C29:$J29)</f>
        <v>14.4</v>
      </c>
      <c r="G29" s="9">
        <f t="array" ref="G29">MIN(Residential_Property!$C29:$J29)</f>
        <v>-5.9</v>
      </c>
      <c r="H29" s="9">
        <f t="array" ref="H29">MAX(Established_Houses!$C29:$J29)</f>
        <v>16.100000000000001</v>
      </c>
      <c r="I29" s="9">
        <f t="array" ref="I29">MIN(Established_Houses!$C29:$J29)</f>
        <v>-5.6</v>
      </c>
      <c r="J29" s="9">
        <f t="array" ref="J29">MAX(Attached_Dwellings!$C29:$J29)</f>
        <v>14.6</v>
      </c>
      <c r="K29" s="9">
        <f t="array" ref="K29">MIN(Attached_Dwellings!$C29:$J29)</f>
        <v>-7.1</v>
      </c>
    </row>
    <row r="30" spans="1:11">
      <c r="A30" s="15"/>
      <c r="B30" s="5" t="s">
        <v>27</v>
      </c>
      <c r="C30" s="10">
        <f t="array" ref="C30">ROUND(SUM(Residential_Property!$C30:$J30)/8,2)</f>
        <v>5.99</v>
      </c>
      <c r="D30" s="10">
        <f t="array" ref="D30">ROUND(SUM(Established_Houses!$C30:$J30)/8,2)</f>
        <v>6.69</v>
      </c>
      <c r="E30" s="10">
        <f t="array" ref="E30">ROUND(SUM(Attached_Dwellings!$C30:$J30)/8,2)</f>
        <v>3.48</v>
      </c>
      <c r="F30" s="9">
        <f t="array" ref="F30">MAX(Residential_Property!$C30:$J30)</f>
        <v>13.8</v>
      </c>
      <c r="G30" s="9">
        <f t="array" ref="G30">MIN(Residential_Property!$C30:$J30)</f>
        <v>-4.9000000000000004</v>
      </c>
      <c r="H30" s="9">
        <f t="array" ref="H30">MAX(Established_Houses!$C30:$J30)</f>
        <v>16</v>
      </c>
      <c r="I30" s="9">
        <f t="array" ref="I30">MIN(Established_Houses!$C30:$J30)</f>
        <v>-4.7</v>
      </c>
      <c r="J30" s="9">
        <f t="array" ref="J30">MAX(Attached_Dwellings!$C30:$J30)</f>
        <v>13.8</v>
      </c>
      <c r="K30" s="9">
        <f t="array" ref="K30">MIN(Attached_Dwellings!$C30:$J30)</f>
        <v>-5.5</v>
      </c>
    </row>
    <row r="34" spans="1:2" ht="38.25">
      <c r="A34" s="9" t="s">
        <v>47</v>
      </c>
      <c r="B34" s="9">
        <f>COUNTIFS(Residential_Property!$C15:$J22,"&lt;0",Established_Houses!$C15:$J22,"&lt;0",Attached_Dwellings!$C15:$J22,"&lt;0")</f>
        <v>15</v>
      </c>
    </row>
    <row r="35" spans="1:2" ht="51">
      <c r="A35" s="9" t="s">
        <v>48</v>
      </c>
      <c r="B35" s="9">
        <f>COUNTIFS(Residential_Property!$C23:$J30,"&lt;0",Established_Houses!$C23:$J30,"&lt;0",Attached_Dwellings!$C23:$J30,"&lt;0")</f>
        <v>16</v>
      </c>
    </row>
    <row r="48" spans="1:2">
      <c r="A48" s="12"/>
      <c r="B48" s="11"/>
    </row>
    <row r="49" spans="2:2">
      <c r="B49" s="11"/>
    </row>
    <row r="50" spans="2:2">
      <c r="B50" s="11"/>
    </row>
    <row r="51" spans="2:2">
      <c r="B51" s="11"/>
    </row>
    <row r="52" spans="2:2">
      <c r="B52" s="11"/>
    </row>
    <row r="53" spans="2:2">
      <c r="B53" s="11"/>
    </row>
    <row r="54" spans="2:2" ht="12.75" customHeight="1">
      <c r="B54" s="11"/>
    </row>
    <row r="55" spans="2:2">
      <c r="B55" s="11"/>
    </row>
    <row r="56" spans="2:2">
      <c r="B56" s="11"/>
    </row>
    <row r="57" spans="2:2">
      <c r="B57" s="11"/>
    </row>
    <row r="58" spans="2:2">
      <c r="B58" s="11"/>
    </row>
    <row r="59" spans="2:2">
      <c r="B59" s="11"/>
    </row>
    <row r="60" spans="2:2">
      <c r="B60" s="11"/>
    </row>
    <row r="61" spans="2:2">
      <c r="B61" s="11"/>
    </row>
    <row r="62" spans="2:2">
      <c r="B62" s="11"/>
    </row>
    <row r="63" spans="2:2">
      <c r="B63" s="11"/>
    </row>
    <row r="64" spans="2:2">
      <c r="B64" s="11"/>
    </row>
    <row r="65" spans="2:2">
      <c r="B65" s="11"/>
    </row>
    <row r="66" spans="2:2">
      <c r="B66" s="11"/>
    </row>
    <row r="67" spans="2:2">
      <c r="B67" s="11"/>
    </row>
    <row r="68" spans="2:2">
      <c r="B68" s="11"/>
    </row>
    <row r="69" spans="2:2" ht="12.75" customHeight="1">
      <c r="B69" s="11"/>
    </row>
    <row r="70" spans="2:2">
      <c r="B70" s="11"/>
    </row>
    <row r="71" spans="2:2">
      <c r="B71" s="11"/>
    </row>
    <row r="72" spans="2:2">
      <c r="B72" s="11"/>
    </row>
    <row r="73" spans="2:2">
      <c r="B73" s="11"/>
    </row>
    <row r="74" spans="2:2">
      <c r="B74" s="11"/>
    </row>
    <row r="75" spans="2:2">
      <c r="B75" s="11"/>
    </row>
    <row r="76" spans="2:2">
      <c r="B76" s="11"/>
    </row>
    <row r="77" spans="2:2">
      <c r="B77" s="11"/>
    </row>
    <row r="78" spans="2:2">
      <c r="B78" s="11"/>
    </row>
    <row r="79" spans="2:2">
      <c r="B79" s="11"/>
    </row>
    <row r="80" spans="2:2">
      <c r="B80" s="11"/>
    </row>
    <row r="81" spans="2:2">
      <c r="B81" s="11"/>
    </row>
    <row r="82" spans="2:2">
      <c r="B82" s="11"/>
    </row>
    <row r="83" spans="2:2">
      <c r="B83" s="11"/>
    </row>
    <row r="84" spans="2:2" ht="12.75" customHeight="1">
      <c r="B84" s="11"/>
    </row>
    <row r="85" spans="2:2">
      <c r="B85" s="11"/>
    </row>
    <row r="86" spans="2:2">
      <c r="B86" s="11"/>
    </row>
    <row r="87" spans="2:2">
      <c r="B87" s="11"/>
    </row>
    <row r="88" spans="2:2">
      <c r="B88" s="11"/>
    </row>
    <row r="89" spans="2:2">
      <c r="B89" s="11"/>
    </row>
    <row r="90" spans="2:2">
      <c r="B90" s="11"/>
    </row>
    <row r="91" spans="2:2">
      <c r="B91" s="11"/>
    </row>
    <row r="92" spans="2:2">
      <c r="B92" s="11"/>
    </row>
  </sheetData>
  <mergeCells count="4">
    <mergeCell ref="A5:B5"/>
    <mergeCell ref="A7:A14"/>
    <mergeCell ref="A15:A22"/>
    <mergeCell ref="A23:A30"/>
  </mergeCells>
  <pageMargins left="0.7" right="0.7" top="0.75" bottom="0.75" header="0.3" footer="0.3"/>
  <pageSetup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Residential_Property</vt:lpstr>
      <vt:lpstr>Established_Houses</vt:lpstr>
      <vt:lpstr>Attached_Dwellings</vt:lpstr>
      <vt:lpstr>Analysis</vt:lpstr>
    </vt:vector>
  </TitlesOfParts>
  <Company>ABS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ABS.Stat © Commonwealth of Australia. Creative Commons Attribution 2.5 Australia (https://creativecommons.org/licenses/by/2.5/au)</dc:creator>
  <cp:lastModifiedBy>Admin</cp:lastModifiedBy>
  <dcterms:created xsi:type="dcterms:W3CDTF">2017-10-03T19:41:08Z</dcterms:created>
  <dcterms:modified xsi:type="dcterms:W3CDTF">2017-10-24T13:36:04Z</dcterms:modified>
</cp:coreProperties>
</file>